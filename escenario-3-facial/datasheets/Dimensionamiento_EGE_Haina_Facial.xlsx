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Portada" sheetId="1" state="visible" r:id="rId3"/>
    <sheet name="1. Parametros" sheetId="2" state="visible" r:id="rId4"/>
    <sheet name="2. Localidades" sheetId="3" state="visible" r:id="rId5"/>
    <sheet name="3. Dimensionamiento Edge" sheetId="4" state="visible" r:id="rId6"/>
    <sheet name="4. Servidor Central" sheetId="5" state="visible" r:id="rId7"/>
    <sheet name="5. Almacenamiento y Red" sheetId="6" state="visible" r:id="rId8"/>
    <sheet name="6. Modelo de Dato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<sst xmlns="http://schemas.openxmlformats.org/spreadsheetml/2006/main" count="443" uniqueCount="305">
  <si>
    <t xml:space="preserve">Sistema de Registro de Entrada por Reconocimiento Facial</t>
  </si>
  <si>
    <t xml:space="preserve">Dimensionamiento de Equipos e Infraestructura</t>
  </si>
  <si>
    <t xml:space="preserve">Cliente: EGE Haina (Empresa Generadora de Electricidad Haina)</t>
  </si>
  <si>
    <t xml:space="preserve">Arquitectura: Servidor central + cómputo en el borde (edge) por planta</t>
  </si>
  <si>
    <t xml:space="preserve">Modelo facial: preentrenado (InsightFace / ArcFace) consumido vía API</t>
  </si>
  <si>
    <t xml:space="preserve">Contenido del libro</t>
  </si>
  <si>
    <t xml:space="preserve">1. Parámetros — todos los supuestos editables (celdas azules)</t>
  </si>
  <si>
    <t xml:space="preserve">2. Localidades — inventario de plantas, empleados y terminales por sitio</t>
  </si>
  <si>
    <t xml:space="preserve">3. Dimensionamiento Edge — cálculo de nodos y hardware por planta</t>
  </si>
  <si>
    <t xml:space="preserve">4. Servidor Central — cálculo de recursos del servidor principal</t>
  </si>
  <si>
    <t xml:space="preserve">5. Almacenamiento y Red — cálculo de disco, ancho de banda y sincronización</t>
  </si>
  <si>
    <t xml:space="preserve">6. Modelo de Datos — entidades del sistema para soportar la escalabilidad</t>
  </si>
  <si>
    <t xml:space="preserve">Convención de colores</t>
  </si>
  <si>
    <t xml:space="preserve">Texto AZUL = dato de entrada editable   |   Texto NEGRO = fórmula / cálculo   |   Texto VERDE = enlace a otra hoja</t>
  </si>
  <si>
    <t xml:space="preserve">Relleno AMARILLO = supuesto clave a revisar</t>
  </si>
  <si>
    <t xml:space="preserve">Nota: La cifra oficial de plantilla de EGE Haina es de 537 colaboradores (fuente: egehaina.com).</t>
  </si>
  <si>
    <t xml:space="preserve">Parámetros del Proyecto (editar celdas azules)</t>
  </si>
  <si>
    <t xml:space="preserve">A. Demanda de personal</t>
  </si>
  <si>
    <t xml:space="preserve">Parámetro</t>
  </si>
  <si>
    <t xml:space="preserve">Valor</t>
  </si>
  <si>
    <t xml:space="preserve">Unidad</t>
  </si>
  <si>
    <t xml:space="preserve">Nota / justificación</t>
  </si>
  <si>
    <t xml:space="preserve">Empleados totales EGE Haina</t>
  </si>
  <si>
    <t xml:space="preserve">emp.</t>
  </si>
  <si>
    <t xml:space="preserve">Cifra oficial (egehaina.com)</t>
  </si>
  <si>
    <t xml:space="preserve">Factor de crecimiento a futuro</t>
  </si>
  <si>
    <t xml:space="preserve">x</t>
  </si>
  <si>
    <t xml:space="preserve">Margen para nuevas plantas y contrataciones</t>
  </si>
  <si>
    <t xml:space="preserve">Marcaciones por empleado por día</t>
  </si>
  <si>
    <t xml:space="preserve">marc./día</t>
  </si>
  <si>
    <t xml:space="preserve">Registro de entrada</t>
  </si>
  <si>
    <t xml:space="preserve">Duración de la ventana pico de ingreso</t>
  </si>
  <si>
    <t xml:space="preserve">horas</t>
  </si>
  <si>
    <t xml:space="preserve">Franja 6:00–8:00 a.m.</t>
  </si>
  <si>
    <t xml:space="preserve">% de empleados que marcan en la ventana pico</t>
  </si>
  <si>
    <t xml:space="preserve">%</t>
  </si>
  <si>
    <t xml:space="preserve">Casi todos entran en el pico</t>
  </si>
  <si>
    <t xml:space="preserve">B. Capacidad de cómputo en el borde (edge)</t>
  </si>
  <si>
    <t xml:space="preserve">Terminales faciales que soporta un nodo edge</t>
  </si>
  <si>
    <t xml:space="preserve">term./nodo</t>
  </si>
  <si>
    <t xml:space="preserve">Jetson Orin Nano atiende 3–6 terminales de acceso</t>
  </si>
  <si>
    <t xml:space="preserve">Latencia de validación por rostro</t>
  </si>
  <si>
    <t xml:space="preserve">seg</t>
  </si>
  <si>
    <t xml:space="preserve">Embedding + liveness + match</t>
  </si>
  <si>
    <t xml:space="preserve">Validaciones/min que soporta un nodo</t>
  </si>
  <si>
    <t xml:space="preserve">val./min</t>
  </si>
  <si>
    <t xml:space="preserve">Muy por encima de la demanda real</t>
  </si>
  <si>
    <t xml:space="preserve">Empleados por defecto por planta con 1 nodo</t>
  </si>
  <si>
    <t xml:space="preserve">Umbral para requerir un 2º nodo</t>
  </si>
  <si>
    <t xml:space="preserve">C. Almacenamiento e imágenes</t>
  </si>
  <si>
    <t xml:space="preserve">Tamaño foto de carnet (referencia)</t>
  </si>
  <si>
    <t xml:space="preserve">MB</t>
  </si>
  <si>
    <t xml:space="preserve">JPEG ~200 KB</t>
  </si>
  <si>
    <t xml:space="preserve">Tamaño de captura de ingreso</t>
  </si>
  <si>
    <t xml:space="preserve">JPEG comprimido</t>
  </si>
  <si>
    <t xml:space="preserve">Tamaño del embedding facial</t>
  </si>
  <si>
    <t xml:space="preserve">Vector 512 float ~2 KB</t>
  </si>
  <si>
    <t xml:space="preserve">Días de retención de capturas de ingreso</t>
  </si>
  <si>
    <t xml:space="preserve">días</t>
  </si>
  <si>
    <t xml:space="preserve">Política de auditoría</t>
  </si>
  <si>
    <t xml:space="preserve">Días laborables por mes</t>
  </si>
  <si>
    <t xml:space="preserve">Para cálculo de volumen mensual</t>
  </si>
  <si>
    <t xml:space="preserve">D. Red y sincronización</t>
  </si>
  <si>
    <t xml:space="preserve">Tamaño de un registro de marcación (metadatos)</t>
  </si>
  <si>
    <t xml:space="preserve">JSON ~5 KB sin imagen</t>
  </si>
  <si>
    <t xml:space="preserve">% de capturas que se suben al central</t>
  </si>
  <si>
    <t xml:space="preserve">Todas para auditoría</t>
  </si>
  <si>
    <t xml:space="preserve">Inventario de Localidades — Empleados y Terminales por Planta</t>
  </si>
  <si>
    <t xml:space="preserve">Editar columnas azules (empleados y terminales). El nº de nodos se calcula automáticamente.</t>
  </si>
  <si>
    <t xml:space="preserve">Localidad</t>
  </si>
  <si>
    <t xml:space="preserve">Provincia</t>
  </si>
  <si>
    <t xml:space="preserve">Tipo</t>
  </si>
  <si>
    <t xml:space="preserve">Empleados</t>
  </si>
  <si>
    <t xml:space="preserve">Puntos de acceso (terminales)</t>
  </si>
  <si>
    <t xml:space="preserve">Conexión</t>
  </si>
  <si>
    <t xml:space="preserve">Empleados x crecim.</t>
  </si>
  <si>
    <t xml:space="preserve">Nodos requeridos</t>
  </si>
  <si>
    <t xml:space="preserve">Tipo de nodo recomendado</t>
  </si>
  <si>
    <t xml:space="preserve">Oficinas Centrales SD</t>
  </si>
  <si>
    <t xml:space="preserve">Santo Domingo</t>
  </si>
  <si>
    <t xml:space="preserve">Oficinas</t>
  </si>
  <si>
    <t xml:space="preserve">Fibra</t>
  </si>
  <si>
    <t xml:space="preserve">Mini-PC x86 industrial</t>
  </si>
  <si>
    <t xml:space="preserve">SIBA Energy</t>
  </si>
  <si>
    <t xml:space="preserve">San Cristóbal</t>
  </si>
  <si>
    <t xml:space="preserve">Térmica gas</t>
  </si>
  <si>
    <t xml:space="preserve">Central Haina</t>
  </si>
  <si>
    <t xml:space="preserve">San P. de Macorís</t>
  </si>
  <si>
    <t xml:space="preserve">Térmica HFO</t>
  </si>
  <si>
    <t xml:space="preserve">Quisqueya 2</t>
  </si>
  <si>
    <t xml:space="preserve">Quisqueya Solar</t>
  </si>
  <si>
    <t xml:space="preserve">Solar</t>
  </si>
  <si>
    <t xml:space="preserve">LTE/4G</t>
  </si>
  <si>
    <t xml:space="preserve">Raspberry Pi 5 + acelerador</t>
  </si>
  <si>
    <t xml:space="preserve">Parque Solar Girasol</t>
  </si>
  <si>
    <t xml:space="preserve">Yaguate, S.C.</t>
  </si>
  <si>
    <t xml:space="preserve">Jetson Orin Nano</t>
  </si>
  <si>
    <t xml:space="preserve">Sultana del Este</t>
  </si>
  <si>
    <t xml:space="preserve">Barahona</t>
  </si>
  <si>
    <t xml:space="preserve">Barahona Carbón</t>
  </si>
  <si>
    <t xml:space="preserve">Térmica carbón</t>
  </si>
  <si>
    <t xml:space="preserve">Eólico Larimar 1 y 2</t>
  </si>
  <si>
    <t xml:space="preserve">Enriquillo, Barahona</t>
  </si>
  <si>
    <t xml:space="preserve">Eólica</t>
  </si>
  <si>
    <t xml:space="preserve">Eólico Los Cocos 1 y 2</t>
  </si>
  <si>
    <t xml:space="preserve">Central Pedernales</t>
  </si>
  <si>
    <t xml:space="preserve">Pedernales</t>
  </si>
  <si>
    <t xml:space="preserve">Térmica aislada</t>
  </si>
  <si>
    <t xml:space="preserve">Satelital/Aislado</t>
  </si>
  <si>
    <t xml:space="preserve">Parque Solar Sajoma</t>
  </si>
  <si>
    <t xml:space="preserve">San José de las Matas</t>
  </si>
  <si>
    <t xml:space="preserve">Complejo Esperanza (I y II)</t>
  </si>
  <si>
    <t xml:space="preserve">Esperanza, Valverde</t>
  </si>
  <si>
    <t xml:space="preserve">Solar híbrida</t>
  </si>
  <si>
    <t xml:space="preserve">Parque Eólico Esperanza</t>
  </si>
  <si>
    <t xml:space="preserve">Eólica (2026)</t>
  </si>
  <si>
    <t xml:space="preserve">Parque Solar Tornasol</t>
  </si>
  <si>
    <t xml:space="preserve">Nizao, Peravia</t>
  </si>
  <si>
    <t xml:space="preserve">TOTAL</t>
  </si>
  <si>
    <t xml:space="preserve">Dimensionamiento del Cómputo en el Borde (Edge)</t>
  </si>
  <si>
    <t xml:space="preserve">Verificación de carga vs capacidad</t>
  </si>
  <si>
    <t xml:space="preserve">Métrica</t>
  </si>
  <si>
    <t xml:space="preserve">Comentario</t>
  </si>
  <si>
    <t xml:space="preserve">Empleados totales (con crecimiento)</t>
  </si>
  <si>
    <t xml:space="preserve">Suma de la hoja Localidades</t>
  </si>
  <si>
    <t xml:space="preserve">Marcaciones totales por día</t>
  </si>
  <si>
    <t xml:space="preserve">1 ingreso por empleado</t>
  </si>
  <si>
    <t xml:space="preserve">Marcaciones en ventana pico</t>
  </si>
  <si>
    <t xml:space="preserve">marc.</t>
  </si>
  <si>
    <t xml:space="preserve">% que entra en el pico</t>
  </si>
  <si>
    <t xml:space="preserve">Marcaciones por minuto (pico, toda la empresa)</t>
  </si>
  <si>
    <t xml:space="preserve">marc./min</t>
  </si>
  <si>
    <t xml:space="preserve">Distribuidas en la franja pico</t>
  </si>
  <si>
    <t xml:space="preserve">Planta con más empleados (con crecim.)</t>
  </si>
  <si>
    <t xml:space="preserve">Sitio más cargado</t>
  </si>
  <si>
    <t xml:space="preserve">Ingresos/min en la planta más cargada</t>
  </si>
  <si>
    <t xml:space="preserve">Pico local del sitio mayor</t>
  </si>
  <si>
    <t xml:space="preserve">Capacidad de un nodo</t>
  </si>
  <si>
    <t xml:space="preserve">Referencia de capacidad</t>
  </si>
  <si>
    <t xml:space="preserve">Margen de holgura del nodo mayor</t>
  </si>
  <si>
    <t xml:space="preserve">Capacidad / demanda pico local</t>
  </si>
  <si>
    <t xml:space="preserve">Resultado de nodos y cámaras</t>
  </si>
  <si>
    <t xml:space="preserve">Total de terminales (puntos de acceso)</t>
  </si>
  <si>
    <t xml:space="preserve">terminales</t>
  </si>
  <si>
    <t xml:space="preserve">Total de nodos edge requeridos</t>
  </si>
  <si>
    <t xml:space="preserve">nodos</t>
  </si>
  <si>
    <t xml:space="preserve">Suma calculada por planta</t>
  </si>
  <si>
    <t xml:space="preserve">Total de localidades</t>
  </si>
  <si>
    <t xml:space="preserve">sitios</t>
  </si>
  <si>
    <t xml:space="preserve">Nº de plantas/sitios</t>
  </si>
  <si>
    <t xml:space="preserve">Promedio de terminales por nodo</t>
  </si>
  <si>
    <t xml:space="preserve">Debe ser &lt;= capacidad por nodo</t>
  </si>
  <si>
    <t xml:space="preserve">Promedio de empleados por localidad</t>
  </si>
  <si>
    <t xml:space="preserve">emp./sitio</t>
  </si>
  <si>
    <t xml:space="preserve">Reparto medio</t>
  </si>
  <si>
    <t xml:space="preserve">Conclusión de dimensionamiento edge</t>
  </si>
  <si>
    <t xml:space="preserve">La demanda pico real es de una fracción de validación por minuto por sitio, muy por debajo de la capacidad de un solo nodo. El hardware se elige por robustez, headroom multi-terminal y uniformidad de flota, no por potencia de cómputo. Cada nodo solo carga los embeddings de su propia planta.</t>
  </si>
  <si>
    <t xml:space="preserve">Dimensionamiento del Servidor Central (Principal)</t>
  </si>
  <si>
    <t xml:space="preserve">El servidor central NO ejecuta reconocimiento facial en vivo. Administra el padrón (CRUD), genera embeddings al enrolar, consolida marcaciones y sirve el panel/reportes. Es una app web + BD convencional.</t>
  </si>
  <si>
    <t xml:space="preserve">Cálculo de recursos</t>
  </si>
  <si>
    <t xml:space="preserve">Recurso</t>
  </si>
  <si>
    <t xml:space="preserve">Base de cálculo</t>
  </si>
  <si>
    <t xml:space="preserve">Empleados a administrar (con crecim.)</t>
  </si>
  <si>
    <t xml:space="preserve">Padrón total</t>
  </si>
  <si>
    <t xml:space="preserve">Nodos que sincronizan contra el central</t>
  </si>
  <si>
    <t xml:space="preserve">Conexiones concurrentes de sync</t>
  </si>
  <si>
    <t xml:space="preserve">vCPU recomendados</t>
  </si>
  <si>
    <t xml:space="preserve">vCPU</t>
  </si>
  <si>
    <t xml:space="preserve">4 base; 8 si crece la flota o el padrón</t>
  </si>
  <si>
    <t xml:space="preserve">RAM recomendada</t>
  </si>
  <si>
    <t xml:space="preserve">GB</t>
  </si>
  <si>
    <t xml:space="preserve">BD + app + servicio de sync</t>
  </si>
  <si>
    <t xml:space="preserve">Disco base del sistema</t>
  </si>
  <si>
    <t xml:space="preserve">SO + aplicación + BD motor</t>
  </si>
  <si>
    <t xml:space="preserve">Disco de datos (ver hoja Almacenamiento)</t>
  </si>
  <si>
    <t xml:space="preserve">Imágenes + BD + logs con retención</t>
  </si>
  <si>
    <t xml:space="preserve">Disco total con margen 100%</t>
  </si>
  <si>
    <t xml:space="preserve">Duplicado por margen y crecimiento</t>
  </si>
  <si>
    <t xml:space="preserve">GPU requerida</t>
  </si>
  <si>
    <t xml:space="preserve">-</t>
  </si>
  <si>
    <t xml:space="preserve">Matching corre en el borde, no aquí</t>
  </si>
  <si>
    <t xml:space="preserve">Alta disponibilidad recomendada</t>
  </si>
  <si>
    <t xml:space="preserve">Fuente de verdad del sistema</t>
  </si>
  <si>
    <t xml:space="preserve">Especificación final del servidor central</t>
  </si>
  <si>
    <t xml:space="preserve">Componente</t>
  </si>
  <si>
    <t xml:space="preserve">Especificación</t>
  </si>
  <si>
    <t xml:space="preserve">Justificación</t>
  </si>
  <si>
    <t xml:space="preserve">CPU</t>
  </si>
  <si>
    <t xml:space="preserve">Cómputo</t>
  </si>
  <si>
    <t xml:space="preserve">Carga administrativa, no de IA en vivo</t>
  </si>
  <si>
    <t xml:space="preserve">Memoria</t>
  </si>
  <si>
    <t xml:space="preserve">PostgreSQL + backend + sync</t>
  </si>
  <si>
    <t xml:space="preserve">Almacenamiento</t>
  </si>
  <si>
    <t xml:space="preserve">Disco</t>
  </si>
  <si>
    <t xml:space="preserve">Con retención de 90 días y margen</t>
  </si>
  <si>
    <t xml:space="preserve">GPU</t>
  </si>
  <si>
    <t xml:space="preserve">Aceleración</t>
  </si>
  <si>
    <t xml:space="preserve">No necesaria en el central</t>
  </si>
  <si>
    <t xml:space="preserve">Red</t>
  </si>
  <si>
    <t xml:space="preserve">Recibe sync de todos los nodos</t>
  </si>
  <si>
    <t xml:space="preserve">Base de datos</t>
  </si>
  <si>
    <t xml:space="preserve">Software</t>
  </si>
  <si>
    <t xml:space="preserve">Padrón, embeddings, marcaciones</t>
  </si>
  <si>
    <t xml:space="preserve">Almacén de objetos</t>
  </si>
  <si>
    <t xml:space="preserve">Fotos de carnet y capturas</t>
  </si>
  <si>
    <t xml:space="preserve">Alta disponibilidad</t>
  </si>
  <si>
    <t xml:space="preserve">Resiliencia</t>
  </si>
  <si>
    <t xml:space="preserve">Respaldo automatizado de BD</t>
  </si>
  <si>
    <t xml:space="preserve">Cálculo de Almacenamiento, Red y Sincronización</t>
  </si>
  <si>
    <t xml:space="preserve">Almacenamiento central</t>
  </si>
  <si>
    <t xml:space="preserve">Concepto</t>
  </si>
  <si>
    <t xml:space="preserve">Fórmula / base</t>
  </si>
  <si>
    <t xml:space="preserve">Empleados (con crecimiento)</t>
  </si>
  <si>
    <t xml:space="preserve">Padrón</t>
  </si>
  <si>
    <t xml:space="preserve">Fotos de carnet (referencia)</t>
  </si>
  <si>
    <t xml:space="preserve">Empleados x tamaño foto</t>
  </si>
  <si>
    <t xml:space="preserve">Embeddings de referencia</t>
  </si>
  <si>
    <t xml:space="preserve">Empleados x tamaño embedding</t>
  </si>
  <si>
    <t xml:space="preserve">Marcaciones por mes</t>
  </si>
  <si>
    <t xml:space="preserve">marc./mes</t>
  </si>
  <si>
    <t xml:space="preserve">Emp x marc/día x días laborables</t>
  </si>
  <si>
    <t xml:space="preserve">Capturas de ingreso retenidas</t>
  </si>
  <si>
    <t xml:space="preserve">Marc/mes x meses retención x tamaño</t>
  </si>
  <si>
    <t xml:space="preserve">Metadatos de marcaciones (retención)</t>
  </si>
  <si>
    <t xml:space="preserve">Registros JSON en BD</t>
  </si>
  <si>
    <t xml:space="preserve">Subtotal datos</t>
  </si>
  <si>
    <t xml:space="preserve">Suma de imágenes + datos</t>
  </si>
  <si>
    <t xml:space="preserve">Conversión a GB</t>
  </si>
  <si>
    <t xml:space="preserve">Margen de crecimiento (x2)</t>
  </si>
  <si>
    <t xml:space="preserve">Duplicado por seguridad</t>
  </si>
  <si>
    <t xml:space="preserve">Disco de datos recomendado</t>
  </si>
  <si>
    <t xml:space="preserve">Mínimo 20 GB</t>
  </si>
  <si>
    <t xml:space="preserve">Red y sincronización (por sitio remoto)</t>
  </si>
  <si>
    <t xml:space="preserve">Empleados por localidad media</t>
  </si>
  <si>
    <t xml:space="preserve">Promedio</t>
  </si>
  <si>
    <t xml:space="preserve">Datos de sync diarios por sitio (metadatos)</t>
  </si>
  <si>
    <t xml:space="preserve">MB/día</t>
  </si>
  <si>
    <t xml:space="preserve">Marcaciones del día</t>
  </si>
  <si>
    <t xml:space="preserve">Datos de sync diarios por sitio (con capturas)</t>
  </si>
  <si>
    <t xml:space="preserve">Capturas + metadatos</t>
  </si>
  <si>
    <t xml:space="preserve">Ancho de banda requerido (sync no crítica)</t>
  </si>
  <si>
    <t xml:space="preserve">MB/s aprox</t>
  </si>
  <si>
    <t xml:space="preserve">Distribuido en el día; muy bajo</t>
  </si>
  <si>
    <t xml:space="preserve">Conclusión de red</t>
  </si>
  <si>
    <t xml:space="preserve">La sync no es sensible a latencia</t>
  </si>
  <si>
    <t xml:space="preserve">Nota clave: la sincronización es diferida y tolerante a fallos. Si el enlace cae, el nodo edge sigue</t>
  </si>
  <si>
    <t xml:space="preserve">operando offline (validación local + cola) y sincroniza al restablecerse la conexión.</t>
  </si>
  <si>
    <t xml:space="preserve">Modelo de Datos del Sistema (soporte a la escalabilidad)</t>
  </si>
  <si>
    <t xml:space="preserve">Empleado</t>
  </si>
  <si>
    <t xml:space="preserve">Campo</t>
  </si>
  <si>
    <t xml:space="preserve">Descripción</t>
  </si>
  <si>
    <t xml:space="preserve">id</t>
  </si>
  <si>
    <t xml:space="preserve">PK</t>
  </si>
  <si>
    <t xml:space="preserve">cedula</t>
  </si>
  <si>
    <t xml:space="preserve">texto</t>
  </si>
  <si>
    <t xml:space="preserve">Identificación</t>
  </si>
  <si>
    <t xml:space="preserve">nombre</t>
  </si>
  <si>
    <t xml:space="preserve">cargo</t>
  </si>
  <si>
    <t xml:space="preserve">localidad_id</t>
  </si>
  <si>
    <t xml:space="preserve">FK -&gt; Localidad</t>
  </si>
  <si>
    <t xml:space="preserve">Planta asignada</t>
  </si>
  <si>
    <t xml:space="preserve">foto_carnet</t>
  </si>
  <si>
    <t xml:space="preserve">ruta/blob</t>
  </si>
  <si>
    <t xml:space="preserve">Imagen de referencia</t>
  </si>
  <si>
    <t xml:space="preserve">embedding_ref</t>
  </si>
  <si>
    <t xml:space="preserve">vector 512</t>
  </si>
  <si>
    <t xml:space="preserve">Generado al enrolar</t>
  </si>
  <si>
    <t xml:space="preserve">estado</t>
  </si>
  <si>
    <t xml:space="preserve">enum</t>
  </si>
  <si>
    <t xml:space="preserve">activo/inactivo</t>
  </si>
  <si>
    <t xml:space="preserve">provincia</t>
  </si>
  <si>
    <t xml:space="preserve">tipo</t>
  </si>
  <si>
    <t xml:space="preserve">térmica/solar/eólica/oficina</t>
  </si>
  <si>
    <t xml:space="preserve">modo_conexion</t>
  </si>
  <si>
    <t xml:space="preserve">fibra/LTE/satelital/aislado</t>
  </si>
  <si>
    <t xml:space="preserve">Nodo</t>
  </si>
  <si>
    <t xml:space="preserve">tipo_hardware</t>
  </si>
  <si>
    <t xml:space="preserve">Jetson/Mini-PC/RPi</t>
  </si>
  <si>
    <t xml:space="preserve">online/offline</t>
  </si>
  <si>
    <t xml:space="preserve">ultima_sync</t>
  </si>
  <si>
    <t xml:space="preserve">datetime</t>
  </si>
  <si>
    <t xml:space="preserve">Control de sincronización</t>
  </si>
  <si>
    <t xml:space="preserve">Terminal</t>
  </si>
  <si>
    <t xml:space="preserve">nodo_id</t>
  </si>
  <si>
    <t xml:space="preserve">FK -&gt; Nodo</t>
  </si>
  <si>
    <t xml:space="preserve">punto_acceso</t>
  </si>
  <si>
    <t xml:space="preserve">Portón, torniquete, sala, etc.</t>
  </si>
  <si>
    <t xml:space="preserve">ip</t>
  </si>
  <si>
    <t xml:space="preserve">activa/inactiva</t>
  </si>
  <si>
    <t xml:space="preserve">Marcacion</t>
  </si>
  <si>
    <t xml:space="preserve">empleado_id</t>
  </si>
  <si>
    <t xml:space="preserve">FK -&gt; Empleado</t>
  </si>
  <si>
    <t xml:space="preserve">terminal_id</t>
  </si>
  <si>
    <t xml:space="preserve">FK -&gt; Terminal</t>
  </si>
  <si>
    <t xml:space="preserve">Por cuál acceso entró</t>
  </si>
  <si>
    <t xml:space="preserve">timestamp</t>
  </si>
  <si>
    <t xml:space="preserve">similitud</t>
  </si>
  <si>
    <t xml:space="preserve">decimal</t>
  </si>
  <si>
    <t xml:space="preserve">Score del match</t>
  </si>
  <si>
    <t xml:space="preserve">resultado</t>
  </si>
  <si>
    <t xml:space="preserve">aceptado/rechazado</t>
  </si>
  <si>
    <t xml:space="preserve">sincronizada</t>
  </si>
  <si>
    <t xml:space="preserve">bool</t>
  </si>
  <si>
    <t xml:space="preserve">Estado de sync al central</t>
  </si>
  <si>
    <t xml:space="preserve">Estrategia de ramas GitHub:  main (producción)  ·  dev (integración)  ·  test (QA / validación)</t>
  </si>
</sst>
</file>

<file path=xl/styles.xml><?xml version="1.0" encoding="utf-8"?>
<styleSheet xmlns="http://schemas.openxmlformats.org/spreadsheetml/2006/main">
  <numFmts count="7">
    <numFmt numFmtId="164" formatCode="General"/>
    <numFmt numFmtId="165" formatCode="0.0%"/>
    <numFmt numFmtId="166" formatCode="0.00"/>
    <numFmt numFmtId="167" formatCode="0.000"/>
    <numFmt numFmtId="168" formatCode="General"/>
    <numFmt numFmtId="169" formatCode="0"/>
    <numFmt numFmtId="170"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2"/>
      <charset val="1"/>
    </font>
    <font>
      <b val="true"/>
      <sz val="11"/>
      <color rgb="FF1F3864"/>
      <name val="Arial"/>
      <family val="2"/>
      <charset val="1"/>
    </font>
    <font>
      <b val="true"/>
      <sz val="10"/>
      <name val="Arial"/>
      <family val="2"/>
      <charset val="1"/>
    </font>
    <font>
      <sz val="10"/>
      <color rgb="FF000000"/>
      <name val="Arial"/>
      <family val="2"/>
      <charset val="1"/>
    </font>
    <font>
      <i val="true"/>
      <sz val="9"/>
      <color rgb="FF808080"/>
      <name val="Arial"/>
      <family val="2"/>
      <charset val="1"/>
    </font>
    <font>
      <b val="true"/>
      <sz val="10"/>
      <color rgb="FFFFFFFF"/>
      <name val="Arial"/>
      <family val="2"/>
      <charset val="1"/>
    </font>
    <font>
      <sz val="10"/>
      <color rgb="FF0000FF"/>
      <name val="Arial"/>
      <family val="2"/>
      <charset val="1"/>
    </font>
    <font>
      <sz val="9"/>
      <color rgb="FF808080"/>
      <name val="Arial"/>
      <family val="2"/>
      <charset val="1"/>
    </font>
    <font>
      <sz val="10"/>
      <color rgb="FF008000"/>
      <name val="Arial"/>
      <family val="2"/>
      <charset val="1"/>
    </font>
  </fonts>
  <fills count="7">
    <fill>
      <patternFill patternType="none"/>
    </fill>
    <fill>
      <patternFill patternType="gray125"/>
    </fill>
    <fill>
      <patternFill patternType="solid">
        <fgColor rgb="FFFFF2CC"/>
        <bgColor rgb="FFE2EFDA"/>
      </patternFill>
    </fill>
    <fill>
      <patternFill patternType="solid">
        <fgColor rgb="FF2E5496"/>
        <bgColor rgb="FF1F3864"/>
      </patternFill>
    </fill>
    <fill>
      <patternFill patternType="solid">
        <fgColor rgb="FF1F3864"/>
        <bgColor rgb="FF333333"/>
      </patternFill>
    </fill>
    <fill>
      <patternFill patternType="solid">
        <fgColor rgb="FFDCE6F1"/>
        <bgColor rgb="FFE2EFDA"/>
      </patternFill>
    </fill>
    <fill>
      <patternFill patternType="solid">
        <fgColor rgb="FFE2EFDA"/>
        <bgColor rgb="FFDCE6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5" fontId="10" fillId="2" borderId="1" xfId="0" applyFont="true" applyBorder="true" applyAlignment="true" applyProtection="false">
      <alignment horizontal="center" vertical="center" textRotation="0" wrapText="true" indent="0" shrinkToFit="false"/>
      <protection locked="true" hidden="false"/>
    </xf>
    <xf numFmtId="166" fontId="10" fillId="2" borderId="1" xfId="0" applyFont="true" applyBorder="true" applyAlignment="true" applyProtection="false">
      <alignment horizontal="center" vertical="center" textRotation="0" wrapText="true" indent="0" shrinkToFit="false"/>
      <protection locked="true" hidden="false"/>
    </xf>
    <xf numFmtId="167" fontId="10" fillId="2"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8" fontId="12" fillId="0"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8" fontId="6" fillId="5"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9" fontId="12"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70"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69" fontId="6" fillId="6"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70" fontId="7" fillId="0"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3"/>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90"/>
  </cols>
  <sheetData>
    <row r="2" customFormat="false" ht="19.5" hidden="false" customHeight="tru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4" t="s">
        <v>4</v>
      </c>
    </row>
    <row r="9" customFormat="false" ht="15" hidden="false" customHeight="false" outlineLevel="0" collapsed="false">
      <c r="B9" s="2" t="s">
        <v>5</v>
      </c>
    </row>
    <row r="10" customFormat="false" ht="15" hidden="false" customHeight="false" outlineLevel="0" collapsed="false">
      <c r="B10" s="4" t="s">
        <v>6</v>
      </c>
    </row>
    <row r="11" customFormat="false" ht="15" hidden="false" customHeight="false" outlineLevel="0" collapsed="false">
      <c r="B11" s="4" t="s">
        <v>7</v>
      </c>
    </row>
    <row r="12" customFormat="false" ht="15" hidden="false" customHeight="false" outlineLevel="0" collapsed="false">
      <c r="B12" s="4" t="s">
        <v>8</v>
      </c>
    </row>
    <row r="13" customFormat="false" ht="15" hidden="false" customHeight="false" outlineLevel="0" collapsed="false">
      <c r="B13" s="4" t="s">
        <v>9</v>
      </c>
    </row>
    <row r="14" customFormat="false" ht="15" hidden="false" customHeight="false" outlineLevel="0" collapsed="false">
      <c r="B14" s="4" t="s">
        <v>10</v>
      </c>
    </row>
    <row r="15" customFormat="false" ht="15" hidden="false" customHeight="false" outlineLevel="0" collapsed="false">
      <c r="B15" s="4" t="s">
        <v>11</v>
      </c>
    </row>
    <row r="16" customFormat="false" ht="15" hidden="false" customHeight="false" outlineLevel="0" collapsed="false">
      <c r="B16" s="4"/>
    </row>
    <row r="19" customFormat="false" ht="15" hidden="false" customHeight="false" outlineLevel="0" collapsed="false">
      <c r="B19" s="2" t="s">
        <v>12</v>
      </c>
    </row>
    <row r="20" customFormat="false" ht="15" hidden="false" customHeight="false" outlineLevel="0" collapsed="false">
      <c r="B20" s="4" t="s">
        <v>13</v>
      </c>
    </row>
    <row r="21" customFormat="false" ht="15" hidden="false" customHeight="false" outlineLevel="0" collapsed="false">
      <c r="B21" s="5" t="s">
        <v>14</v>
      </c>
    </row>
    <row r="23" customFormat="false" ht="15" hidden="false" customHeight="false" outlineLevel="0" collapsed="false">
      <c r="B23" s="6"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34" activePane="bottomRight" state="frozen"/>
      <selection pane="topLeft" activeCell="A1" activeCellId="0" sqref="A1"/>
      <selection pane="topRight" activeCell="B1" activeCellId="0" sqref="B1"/>
      <selection pane="bottomLeft" activeCell="A34" activeCellId="0" sqref="A34"/>
      <selection pane="bottomRigh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48"/>
    <col collapsed="false" customWidth="true" hidden="false" outlineLevel="0" max="3" min="3" style="0" width="16"/>
    <col collapsed="false" customWidth="true" hidden="false" outlineLevel="0" max="4" min="4" style="0" width="12"/>
    <col collapsed="false" customWidth="true" hidden="false" outlineLevel="0" max="5" min="5" style="0" width="55"/>
  </cols>
  <sheetData>
    <row r="2" customFormat="false" ht="19.5" hidden="false" customHeight="true" outlineLevel="0" collapsed="false">
      <c r="B2" s="1" t="s">
        <v>16</v>
      </c>
    </row>
    <row r="4" customFormat="false" ht="15" hidden="false" customHeight="false" outlineLevel="0" collapsed="false">
      <c r="B4" s="2" t="s">
        <v>17</v>
      </c>
    </row>
    <row r="5" customFormat="false" ht="15" hidden="false" customHeight="false" outlineLevel="0" collapsed="false">
      <c r="B5" s="7" t="s">
        <v>18</v>
      </c>
      <c r="C5" s="7" t="s">
        <v>19</v>
      </c>
      <c r="D5" s="7" t="s">
        <v>20</v>
      </c>
      <c r="E5" s="7" t="s">
        <v>21</v>
      </c>
    </row>
    <row r="6" customFormat="false" ht="15" hidden="false" customHeight="false" outlineLevel="0" collapsed="false">
      <c r="B6" s="8" t="s">
        <v>22</v>
      </c>
      <c r="C6" s="9" t="n">
        <v>537</v>
      </c>
      <c r="D6" s="10" t="s">
        <v>23</v>
      </c>
      <c r="E6" s="11" t="s">
        <v>24</v>
      </c>
    </row>
    <row r="7" customFormat="false" ht="15" hidden="false" customHeight="false" outlineLevel="0" collapsed="false">
      <c r="B7" s="8" t="s">
        <v>25</v>
      </c>
      <c r="C7" s="12" t="n">
        <v>1.3</v>
      </c>
      <c r="D7" s="10" t="s">
        <v>26</v>
      </c>
      <c r="E7" s="11" t="s">
        <v>27</v>
      </c>
    </row>
    <row r="8" customFormat="false" ht="15" hidden="false" customHeight="false" outlineLevel="0" collapsed="false">
      <c r="B8" s="8" t="s">
        <v>28</v>
      </c>
      <c r="C8" s="9" t="n">
        <v>1</v>
      </c>
      <c r="D8" s="10" t="s">
        <v>29</v>
      </c>
      <c r="E8" s="11" t="s">
        <v>30</v>
      </c>
    </row>
    <row r="9" customFormat="false" ht="15" hidden="false" customHeight="false" outlineLevel="0" collapsed="false">
      <c r="B9" s="8" t="s">
        <v>31</v>
      </c>
      <c r="C9" s="9" t="n">
        <v>2</v>
      </c>
      <c r="D9" s="10" t="s">
        <v>32</v>
      </c>
      <c r="E9" s="11" t="s">
        <v>33</v>
      </c>
    </row>
    <row r="10" customFormat="false" ht="15" hidden="false" customHeight="false" outlineLevel="0" collapsed="false">
      <c r="B10" s="8" t="s">
        <v>34</v>
      </c>
      <c r="C10" s="12" t="n">
        <v>0.9</v>
      </c>
      <c r="D10" s="10" t="s">
        <v>35</v>
      </c>
      <c r="E10" s="11" t="s">
        <v>36</v>
      </c>
    </row>
    <row r="12" customFormat="false" ht="15" hidden="false" customHeight="false" outlineLevel="0" collapsed="false">
      <c r="B12" s="2" t="s">
        <v>37</v>
      </c>
    </row>
    <row r="13" customFormat="false" ht="15" hidden="false" customHeight="false" outlineLevel="0" collapsed="false">
      <c r="B13" s="7" t="s">
        <v>18</v>
      </c>
      <c r="C13" s="7" t="s">
        <v>19</v>
      </c>
      <c r="D13" s="7" t="s">
        <v>20</v>
      </c>
      <c r="E13" s="7" t="s">
        <v>21</v>
      </c>
    </row>
    <row r="14" customFormat="false" ht="15" hidden="false" customHeight="false" outlineLevel="0" collapsed="false">
      <c r="B14" s="8" t="s">
        <v>38</v>
      </c>
      <c r="C14" s="9" t="n">
        <v>6</v>
      </c>
      <c r="D14" s="10" t="s">
        <v>39</v>
      </c>
      <c r="E14" s="11" t="s">
        <v>40</v>
      </c>
    </row>
    <row r="15" customFormat="false" ht="15" hidden="false" customHeight="false" outlineLevel="0" collapsed="false">
      <c r="B15" s="8" t="s">
        <v>41</v>
      </c>
      <c r="C15" s="9" t="n">
        <v>0.6</v>
      </c>
      <c r="D15" s="10" t="s">
        <v>42</v>
      </c>
      <c r="E15" s="11" t="s">
        <v>43</v>
      </c>
    </row>
    <row r="16" customFormat="false" ht="15" hidden="false" customHeight="false" outlineLevel="0" collapsed="false">
      <c r="B16" s="8" t="s">
        <v>44</v>
      </c>
      <c r="C16" s="9" t="n">
        <v>40</v>
      </c>
      <c r="D16" s="10" t="s">
        <v>45</v>
      </c>
      <c r="E16" s="11" t="s">
        <v>46</v>
      </c>
    </row>
    <row r="17" customFormat="false" ht="15" hidden="false" customHeight="false" outlineLevel="0" collapsed="false">
      <c r="B17" s="8" t="s">
        <v>47</v>
      </c>
      <c r="C17" s="9" t="n">
        <v>120</v>
      </c>
      <c r="D17" s="10" t="s">
        <v>23</v>
      </c>
      <c r="E17" s="11" t="s">
        <v>48</v>
      </c>
    </row>
    <row r="19" customFormat="false" ht="15" hidden="false" customHeight="false" outlineLevel="0" collapsed="false">
      <c r="B19" s="2" t="s">
        <v>49</v>
      </c>
    </row>
    <row r="20" customFormat="false" ht="15" hidden="false" customHeight="false" outlineLevel="0" collapsed="false">
      <c r="B20" s="7" t="s">
        <v>18</v>
      </c>
      <c r="C20" s="7" t="s">
        <v>19</v>
      </c>
      <c r="D20" s="7" t="s">
        <v>20</v>
      </c>
      <c r="E20" s="7" t="s">
        <v>21</v>
      </c>
    </row>
    <row r="21" customFormat="false" ht="15" hidden="false" customHeight="false" outlineLevel="0" collapsed="false">
      <c r="B21" s="8" t="s">
        <v>50</v>
      </c>
      <c r="C21" s="13" t="n">
        <v>0.2</v>
      </c>
      <c r="D21" s="10" t="s">
        <v>51</v>
      </c>
      <c r="E21" s="11" t="s">
        <v>52</v>
      </c>
    </row>
    <row r="22" customFormat="false" ht="15" hidden="false" customHeight="false" outlineLevel="0" collapsed="false">
      <c r="B22" s="8" t="s">
        <v>53</v>
      </c>
      <c r="C22" s="13" t="n">
        <v>0.15</v>
      </c>
      <c r="D22" s="10" t="s">
        <v>51</v>
      </c>
      <c r="E22" s="11" t="s">
        <v>54</v>
      </c>
    </row>
    <row r="23" customFormat="false" ht="15" hidden="false" customHeight="false" outlineLevel="0" collapsed="false">
      <c r="B23" s="8" t="s">
        <v>55</v>
      </c>
      <c r="C23" s="14" t="n">
        <v>0.002</v>
      </c>
      <c r="D23" s="10" t="s">
        <v>51</v>
      </c>
      <c r="E23" s="11" t="s">
        <v>56</v>
      </c>
    </row>
    <row r="24" customFormat="false" ht="15" hidden="false" customHeight="false" outlineLevel="0" collapsed="false">
      <c r="B24" s="8" t="s">
        <v>57</v>
      </c>
      <c r="C24" s="9" t="n">
        <v>90</v>
      </c>
      <c r="D24" s="10" t="s">
        <v>58</v>
      </c>
      <c r="E24" s="11" t="s">
        <v>59</v>
      </c>
    </row>
    <row r="25" customFormat="false" ht="15" hidden="false" customHeight="false" outlineLevel="0" collapsed="false">
      <c r="B25" s="8" t="s">
        <v>60</v>
      </c>
      <c r="C25" s="9" t="n">
        <v>22</v>
      </c>
      <c r="D25" s="10" t="s">
        <v>58</v>
      </c>
      <c r="E25" s="11" t="s">
        <v>61</v>
      </c>
    </row>
    <row r="27" customFormat="false" ht="15" hidden="false" customHeight="false" outlineLevel="0" collapsed="false">
      <c r="B27" s="2" t="s">
        <v>62</v>
      </c>
    </row>
    <row r="28" customFormat="false" ht="15" hidden="false" customHeight="false" outlineLevel="0" collapsed="false">
      <c r="B28" s="7" t="s">
        <v>18</v>
      </c>
      <c r="C28" s="7" t="s">
        <v>19</v>
      </c>
      <c r="D28" s="7" t="s">
        <v>20</v>
      </c>
      <c r="E28" s="7" t="s">
        <v>21</v>
      </c>
    </row>
    <row r="29" customFormat="false" ht="15" hidden="false" customHeight="false" outlineLevel="0" collapsed="false">
      <c r="B29" s="8" t="s">
        <v>63</v>
      </c>
      <c r="C29" s="14" t="n">
        <v>0.005</v>
      </c>
      <c r="D29" s="10" t="s">
        <v>51</v>
      </c>
      <c r="E29" s="11" t="s">
        <v>64</v>
      </c>
    </row>
    <row r="30" customFormat="false" ht="15" hidden="false" customHeight="false" outlineLevel="0" collapsed="false">
      <c r="B30" s="8" t="s">
        <v>65</v>
      </c>
      <c r="C30" s="12" t="n">
        <v>1</v>
      </c>
      <c r="D30" s="10" t="s">
        <v>35</v>
      </c>
      <c r="E30" s="11"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6"/>
    <col collapsed="false" customWidth="true" hidden="false" outlineLevel="0" max="4" min="4" style="0" width="12"/>
    <col collapsed="false" customWidth="true" hidden="false" outlineLevel="0" max="5" min="5" style="0" width="10"/>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22"/>
  </cols>
  <sheetData>
    <row r="2" customFormat="false" ht="19.5" hidden="false" customHeight="true" outlineLevel="0" collapsed="false">
      <c r="B2" s="1" t="s">
        <v>67</v>
      </c>
    </row>
    <row r="3" customFormat="false" ht="15" hidden="false" customHeight="false" outlineLevel="0" collapsed="false">
      <c r="B3" s="6" t="s">
        <v>68</v>
      </c>
    </row>
    <row r="5" customFormat="false" ht="55.5" hidden="false" customHeight="true" outlineLevel="0" collapsed="false">
      <c r="B5" s="15" t="s">
        <v>69</v>
      </c>
      <c r="C5" s="15" t="s">
        <v>70</v>
      </c>
      <c r="D5" s="15" t="s">
        <v>71</v>
      </c>
      <c r="E5" s="15" t="s">
        <v>72</v>
      </c>
      <c r="F5" s="15" t="s">
        <v>73</v>
      </c>
      <c r="G5" s="15" t="s">
        <v>74</v>
      </c>
      <c r="H5" s="15" t="s">
        <v>75</v>
      </c>
      <c r="I5" s="15" t="s">
        <v>76</v>
      </c>
      <c r="J5" s="15" t="s">
        <v>77</v>
      </c>
    </row>
    <row r="6" customFormat="false" ht="42" hidden="false" customHeight="true" outlineLevel="0" collapsed="false">
      <c r="B6" s="8" t="s">
        <v>78</v>
      </c>
      <c r="C6" s="8" t="s">
        <v>79</v>
      </c>
      <c r="D6" s="8" t="s">
        <v>80</v>
      </c>
      <c r="E6" s="9" t="n">
        <v>180</v>
      </c>
      <c r="F6" s="9" t="n">
        <v>3</v>
      </c>
      <c r="G6" s="10" t="s">
        <v>81</v>
      </c>
      <c r="H6" s="16" t="n">
        <f aca="false">ROUND(E6*'1. Parametros'!$C$7,0)</f>
        <v>234</v>
      </c>
      <c r="I6" s="10" t="n">
        <f aca="false">MAX(ROUNDUP(F6/'1. Parametros'!$C$14,0),ROUNDUP(H6/'1. Parametros'!$C$17,0),1)</f>
        <v>2</v>
      </c>
      <c r="J6" s="8" t="s">
        <v>82</v>
      </c>
    </row>
    <row r="7" customFormat="false" ht="42" hidden="false" customHeight="true" outlineLevel="0" collapsed="false">
      <c r="B7" s="8" t="s">
        <v>83</v>
      </c>
      <c r="C7" s="8" t="s">
        <v>84</v>
      </c>
      <c r="D7" s="8" t="s">
        <v>85</v>
      </c>
      <c r="E7" s="9" t="n">
        <v>55</v>
      </c>
      <c r="F7" s="9" t="n">
        <v>4</v>
      </c>
      <c r="G7" s="10" t="s">
        <v>81</v>
      </c>
      <c r="H7" s="16" t="n">
        <f aca="false">ROUND(E7*'1. Parametros'!$C$7,0)</f>
        <v>72</v>
      </c>
      <c r="I7" s="10" t="n">
        <f aca="false">MAX(ROUNDUP(F7/'1. Parametros'!$C$14,0),ROUNDUP(H7/'1. Parametros'!$C$17,0),1)</f>
        <v>1</v>
      </c>
      <c r="J7" s="8" t="s">
        <v>82</v>
      </c>
    </row>
    <row r="8" customFormat="false" ht="42" hidden="false" customHeight="true" outlineLevel="0" collapsed="false">
      <c r="B8" s="8" t="s">
        <v>86</v>
      </c>
      <c r="C8" s="8" t="s">
        <v>87</v>
      </c>
      <c r="D8" s="8" t="s">
        <v>88</v>
      </c>
      <c r="E8" s="9" t="n">
        <v>45</v>
      </c>
      <c r="F8" s="9" t="n">
        <v>3</v>
      </c>
      <c r="G8" s="10" t="s">
        <v>81</v>
      </c>
      <c r="H8" s="16" t="n">
        <f aca="false">ROUND(E8*'1. Parametros'!$C$7,0)</f>
        <v>59</v>
      </c>
      <c r="I8" s="10" t="n">
        <f aca="false">MAX(ROUNDUP(F8/'1. Parametros'!$C$14,0),ROUNDUP(H8/'1. Parametros'!$C$17,0),1)</f>
        <v>1</v>
      </c>
      <c r="J8" s="8" t="s">
        <v>82</v>
      </c>
    </row>
    <row r="9" customFormat="false" ht="42" hidden="false" customHeight="true" outlineLevel="0" collapsed="false">
      <c r="B9" s="8" t="s">
        <v>89</v>
      </c>
      <c r="C9" s="8" t="s">
        <v>87</v>
      </c>
      <c r="D9" s="8" t="s">
        <v>85</v>
      </c>
      <c r="E9" s="9" t="n">
        <v>50</v>
      </c>
      <c r="F9" s="9" t="n">
        <v>4</v>
      </c>
      <c r="G9" s="10" t="s">
        <v>81</v>
      </c>
      <c r="H9" s="16" t="n">
        <f aca="false">ROUND(E9*'1. Parametros'!$C$7,0)</f>
        <v>65</v>
      </c>
      <c r="I9" s="10" t="n">
        <f aca="false">MAX(ROUNDUP(F9/'1. Parametros'!$C$14,0),ROUNDUP(H9/'1. Parametros'!$C$17,0),1)</f>
        <v>1</v>
      </c>
      <c r="J9" s="8" t="s">
        <v>82</v>
      </c>
    </row>
    <row r="10" customFormat="false" ht="55.5" hidden="false" customHeight="true" outlineLevel="0" collapsed="false">
      <c r="B10" s="8" t="s">
        <v>90</v>
      </c>
      <c r="C10" s="8" t="s">
        <v>87</v>
      </c>
      <c r="D10" s="8" t="s">
        <v>91</v>
      </c>
      <c r="E10" s="9" t="n">
        <v>6</v>
      </c>
      <c r="F10" s="9" t="n">
        <v>1</v>
      </c>
      <c r="G10" s="10" t="s">
        <v>92</v>
      </c>
      <c r="H10" s="16" t="n">
        <f aca="false">ROUND(E10*'1. Parametros'!$C$7,0)</f>
        <v>8</v>
      </c>
      <c r="I10" s="10" t="n">
        <f aca="false">MAX(ROUNDUP(F10/'1. Parametros'!$C$14,0),ROUNDUP(H10/'1. Parametros'!$C$17,0),1)</f>
        <v>1</v>
      </c>
      <c r="J10" s="8" t="s">
        <v>93</v>
      </c>
    </row>
    <row r="11" customFormat="false" ht="42" hidden="false" customHeight="true" outlineLevel="0" collapsed="false">
      <c r="B11" s="8" t="s">
        <v>94</v>
      </c>
      <c r="C11" s="8" t="s">
        <v>95</v>
      </c>
      <c r="D11" s="8" t="s">
        <v>91</v>
      </c>
      <c r="E11" s="9" t="n">
        <v>14</v>
      </c>
      <c r="F11" s="9" t="n">
        <v>2</v>
      </c>
      <c r="G11" s="10" t="s">
        <v>92</v>
      </c>
      <c r="H11" s="16" t="n">
        <f aca="false">ROUND(E11*'1. Parametros'!$C$7,0)</f>
        <v>18</v>
      </c>
      <c r="I11" s="10" t="n">
        <f aca="false">MAX(ROUNDUP(F11/'1. Parametros'!$C$14,0),ROUNDUP(H11/'1. Parametros'!$C$17,0),1)</f>
        <v>1</v>
      </c>
      <c r="J11" s="8" t="s">
        <v>96</v>
      </c>
    </row>
    <row r="12" customFormat="false" ht="42" hidden="false" customHeight="true" outlineLevel="0" collapsed="false">
      <c r="B12" s="8" t="s">
        <v>97</v>
      </c>
      <c r="C12" s="8" t="s">
        <v>98</v>
      </c>
      <c r="D12" s="8" t="s">
        <v>88</v>
      </c>
      <c r="E12" s="9" t="n">
        <v>40</v>
      </c>
      <c r="F12" s="9" t="n">
        <v>3</v>
      </c>
      <c r="G12" s="10" t="s">
        <v>81</v>
      </c>
      <c r="H12" s="16" t="n">
        <f aca="false">ROUND(E12*'1. Parametros'!$C$7,0)</f>
        <v>52</v>
      </c>
      <c r="I12" s="10" t="n">
        <f aca="false">MAX(ROUNDUP(F12/'1. Parametros'!$C$14,0),ROUNDUP(H12/'1. Parametros'!$C$17,0),1)</f>
        <v>1</v>
      </c>
      <c r="J12" s="8" t="s">
        <v>82</v>
      </c>
    </row>
    <row r="13" customFormat="false" ht="42" hidden="false" customHeight="true" outlineLevel="0" collapsed="false">
      <c r="B13" s="8" t="s">
        <v>99</v>
      </c>
      <c r="C13" s="8" t="s">
        <v>98</v>
      </c>
      <c r="D13" s="8" t="s">
        <v>100</v>
      </c>
      <c r="E13" s="9" t="n">
        <v>30</v>
      </c>
      <c r="F13" s="9" t="n">
        <v>3</v>
      </c>
      <c r="G13" s="10" t="s">
        <v>81</v>
      </c>
      <c r="H13" s="16" t="n">
        <f aca="false">ROUND(E13*'1. Parametros'!$C$7,0)</f>
        <v>39</v>
      </c>
      <c r="I13" s="10" t="n">
        <f aca="false">MAX(ROUNDUP(F13/'1. Parametros'!$C$14,0),ROUNDUP(H13/'1. Parametros'!$C$17,0),1)</f>
        <v>1</v>
      </c>
      <c r="J13" s="8" t="s">
        <v>82</v>
      </c>
    </row>
    <row r="14" customFormat="false" ht="42" hidden="false" customHeight="true" outlineLevel="0" collapsed="false">
      <c r="B14" s="8" t="s">
        <v>101</v>
      </c>
      <c r="C14" s="8" t="s">
        <v>102</v>
      </c>
      <c r="D14" s="8" t="s">
        <v>103</v>
      </c>
      <c r="E14" s="9" t="n">
        <v>18</v>
      </c>
      <c r="F14" s="9" t="n">
        <v>2</v>
      </c>
      <c r="G14" s="10" t="s">
        <v>92</v>
      </c>
      <c r="H14" s="16" t="n">
        <f aca="false">ROUND(E14*'1. Parametros'!$C$7,0)</f>
        <v>23</v>
      </c>
      <c r="I14" s="10" t="n">
        <f aca="false">MAX(ROUNDUP(F14/'1. Parametros'!$C$14,0),ROUNDUP(H14/'1. Parametros'!$C$17,0),1)</f>
        <v>1</v>
      </c>
      <c r="J14" s="8" t="s">
        <v>96</v>
      </c>
    </row>
    <row r="15" customFormat="false" ht="42" hidden="false" customHeight="true" outlineLevel="0" collapsed="false">
      <c r="B15" s="8" t="s">
        <v>104</v>
      </c>
      <c r="C15" s="8" t="s">
        <v>102</v>
      </c>
      <c r="D15" s="8" t="s">
        <v>103</v>
      </c>
      <c r="E15" s="9" t="n">
        <v>16</v>
      </c>
      <c r="F15" s="9" t="n">
        <v>2</v>
      </c>
      <c r="G15" s="10" t="s">
        <v>92</v>
      </c>
      <c r="H15" s="16" t="n">
        <f aca="false">ROUND(E15*'1. Parametros'!$C$7,0)</f>
        <v>21</v>
      </c>
      <c r="I15" s="10" t="n">
        <f aca="false">MAX(ROUNDUP(F15/'1. Parametros'!$C$14,0),ROUNDUP(H15/'1. Parametros'!$C$17,0),1)</f>
        <v>1</v>
      </c>
      <c r="J15" s="8" t="s">
        <v>96</v>
      </c>
    </row>
    <row r="16" customFormat="false" ht="55.5" hidden="false" customHeight="true" outlineLevel="0" collapsed="false">
      <c r="B16" s="8" t="s">
        <v>105</v>
      </c>
      <c r="C16" s="8" t="s">
        <v>106</v>
      </c>
      <c r="D16" s="8" t="s">
        <v>107</v>
      </c>
      <c r="E16" s="9" t="n">
        <v>10</v>
      </c>
      <c r="F16" s="9" t="n">
        <v>2</v>
      </c>
      <c r="G16" s="10" t="s">
        <v>108</v>
      </c>
      <c r="H16" s="16" t="n">
        <f aca="false">ROUND(E16*'1. Parametros'!$C$7,0)</f>
        <v>13</v>
      </c>
      <c r="I16" s="10" t="n">
        <f aca="false">MAX(ROUNDUP(F16/'1. Parametros'!$C$14,0),ROUNDUP(H16/'1. Parametros'!$C$17,0),1)</f>
        <v>1</v>
      </c>
      <c r="J16" s="8" t="s">
        <v>93</v>
      </c>
    </row>
    <row r="17" customFormat="false" ht="42" hidden="false" customHeight="true" outlineLevel="0" collapsed="false">
      <c r="B17" s="8" t="s">
        <v>109</v>
      </c>
      <c r="C17" s="8" t="s">
        <v>110</v>
      </c>
      <c r="D17" s="8" t="s">
        <v>91</v>
      </c>
      <c r="E17" s="9" t="n">
        <v>12</v>
      </c>
      <c r="F17" s="9" t="n">
        <v>2</v>
      </c>
      <c r="G17" s="10" t="s">
        <v>92</v>
      </c>
      <c r="H17" s="16" t="n">
        <f aca="false">ROUND(E17*'1. Parametros'!$C$7,0)</f>
        <v>16</v>
      </c>
      <c r="I17" s="10" t="n">
        <f aca="false">MAX(ROUNDUP(F17/'1. Parametros'!$C$14,0),ROUNDUP(H17/'1. Parametros'!$C$17,0),1)</f>
        <v>1</v>
      </c>
      <c r="J17" s="8" t="s">
        <v>96</v>
      </c>
    </row>
    <row r="18" customFormat="false" ht="42" hidden="false" customHeight="true" outlineLevel="0" collapsed="false">
      <c r="B18" s="8" t="s">
        <v>111</v>
      </c>
      <c r="C18" s="8" t="s">
        <v>112</v>
      </c>
      <c r="D18" s="8" t="s">
        <v>113</v>
      </c>
      <c r="E18" s="9" t="n">
        <v>20</v>
      </c>
      <c r="F18" s="9" t="n">
        <v>3</v>
      </c>
      <c r="G18" s="10" t="s">
        <v>92</v>
      </c>
      <c r="H18" s="16" t="n">
        <f aca="false">ROUND(E18*'1. Parametros'!$C$7,0)</f>
        <v>26</v>
      </c>
      <c r="I18" s="10" t="n">
        <f aca="false">MAX(ROUNDUP(F18/'1. Parametros'!$C$14,0),ROUNDUP(H18/'1. Parametros'!$C$17,0),1)</f>
        <v>1</v>
      </c>
      <c r="J18" s="8" t="s">
        <v>96</v>
      </c>
    </row>
    <row r="19" customFormat="false" ht="42" hidden="false" customHeight="true" outlineLevel="0" collapsed="false">
      <c r="B19" s="8" t="s">
        <v>114</v>
      </c>
      <c r="C19" s="8" t="s">
        <v>112</v>
      </c>
      <c r="D19" s="8" t="s">
        <v>115</v>
      </c>
      <c r="E19" s="9" t="n">
        <v>8</v>
      </c>
      <c r="F19" s="9" t="n">
        <v>2</v>
      </c>
      <c r="G19" s="10" t="s">
        <v>92</v>
      </c>
      <c r="H19" s="16" t="n">
        <f aca="false">ROUND(E19*'1. Parametros'!$C$7,0)</f>
        <v>10</v>
      </c>
      <c r="I19" s="10" t="n">
        <f aca="false">MAX(ROUNDUP(F19/'1. Parametros'!$C$14,0),ROUNDUP(H19/'1. Parametros'!$C$17,0),1)</f>
        <v>1</v>
      </c>
      <c r="J19" s="8" t="s">
        <v>96</v>
      </c>
    </row>
    <row r="20" customFormat="false" ht="42" hidden="false" customHeight="true" outlineLevel="0" collapsed="false">
      <c r="B20" s="8" t="s">
        <v>116</v>
      </c>
      <c r="C20" s="8" t="s">
        <v>117</v>
      </c>
      <c r="D20" s="8" t="s">
        <v>91</v>
      </c>
      <c r="E20" s="9" t="n">
        <v>13</v>
      </c>
      <c r="F20" s="9" t="n">
        <v>2</v>
      </c>
      <c r="G20" s="10" t="s">
        <v>92</v>
      </c>
      <c r="H20" s="16" t="n">
        <f aca="false">ROUND(E20*'1. Parametros'!$C$7,0)</f>
        <v>17</v>
      </c>
      <c r="I20" s="10" t="n">
        <f aca="false">MAX(ROUNDUP(F20/'1. Parametros'!$C$14,0),ROUNDUP(H20/'1. Parametros'!$C$17,0),1)</f>
        <v>1</v>
      </c>
      <c r="J20" s="8" t="s">
        <v>96</v>
      </c>
    </row>
    <row r="21" customFormat="false" ht="15" hidden="false" customHeight="false" outlineLevel="0" collapsed="false">
      <c r="B21" s="17" t="s">
        <v>118</v>
      </c>
      <c r="C21" s="18"/>
      <c r="D21" s="18"/>
      <c r="E21" s="19" t="n">
        <f aca="false">SUM(E6:E20)</f>
        <v>517</v>
      </c>
      <c r="F21" s="19" t="n">
        <f aca="false">SUM(F6:F20)</f>
        <v>38</v>
      </c>
      <c r="G21" s="18"/>
      <c r="H21" s="19" t="n">
        <f aca="false">SUM(H6:H20)</f>
        <v>673</v>
      </c>
      <c r="I21" s="19" t="n">
        <f aca="false">SUM(I6:I20)</f>
        <v>16</v>
      </c>
      <c r="J21" s="1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3" min="3" style="0" width="18"/>
    <col collapsed="false" customWidth="true" hidden="false" outlineLevel="0" max="4" min="4" style="0" width="14"/>
    <col collapsed="false" customWidth="true" hidden="false" outlineLevel="0" max="5" min="5" style="0" width="50"/>
  </cols>
  <sheetData>
    <row r="2" customFormat="false" ht="19.5" hidden="false" customHeight="true" outlineLevel="0" collapsed="false">
      <c r="B2" s="1" t="s">
        <v>119</v>
      </c>
    </row>
    <row r="4" customFormat="false" ht="15" hidden="false" customHeight="false" outlineLevel="0" collapsed="false">
      <c r="B4" s="2" t="s">
        <v>120</v>
      </c>
    </row>
    <row r="5" customFormat="false" ht="15" hidden="false" customHeight="false" outlineLevel="0" collapsed="false">
      <c r="B5" s="7" t="s">
        <v>121</v>
      </c>
      <c r="C5" s="7" t="s">
        <v>19</v>
      </c>
      <c r="D5" s="7" t="s">
        <v>20</v>
      </c>
      <c r="E5" s="7" t="s">
        <v>122</v>
      </c>
    </row>
    <row r="6" customFormat="false" ht="15" hidden="false" customHeight="false" outlineLevel="0" collapsed="false">
      <c r="B6" s="8" t="s">
        <v>123</v>
      </c>
      <c r="C6" s="16" t="n">
        <f aca="false">'2. Localidades'!H21</f>
        <v>673</v>
      </c>
      <c r="D6" s="10" t="s">
        <v>23</v>
      </c>
      <c r="E6" s="11" t="s">
        <v>124</v>
      </c>
    </row>
    <row r="7" customFormat="false" ht="15" hidden="false" customHeight="false" outlineLevel="0" collapsed="false">
      <c r="B7" s="8" t="s">
        <v>125</v>
      </c>
      <c r="C7" s="10" t="n">
        <f aca="false">C6*'1. Parametros'!C8</f>
        <v>673</v>
      </c>
      <c r="D7" s="10" t="s">
        <v>29</v>
      </c>
      <c r="E7" s="11" t="s">
        <v>126</v>
      </c>
    </row>
    <row r="8" customFormat="false" ht="15" hidden="false" customHeight="false" outlineLevel="0" collapsed="false">
      <c r="B8" s="8" t="s">
        <v>127</v>
      </c>
      <c r="C8" s="10" t="n">
        <f aca="false">C7*'1. Parametros'!C10</f>
        <v>605.7</v>
      </c>
      <c r="D8" s="10" t="s">
        <v>128</v>
      </c>
      <c r="E8" s="11" t="s">
        <v>129</v>
      </c>
    </row>
    <row r="9" customFormat="false" ht="15" hidden="false" customHeight="false" outlineLevel="0" collapsed="false">
      <c r="B9" s="8" t="s">
        <v>130</v>
      </c>
      <c r="C9" s="10" t="n">
        <f aca="false">C8/('1. Parametros'!C9*60)</f>
        <v>5.0475</v>
      </c>
      <c r="D9" s="10" t="s">
        <v>131</v>
      </c>
      <c r="E9" s="11" t="s">
        <v>132</v>
      </c>
    </row>
    <row r="10" customFormat="false" ht="15" hidden="false" customHeight="false" outlineLevel="0" collapsed="false">
      <c r="B10" s="8" t="s">
        <v>133</v>
      </c>
      <c r="C10" s="16" t="n">
        <f aca="false">MAX('2. Localidades'!H6:H20)</f>
        <v>234</v>
      </c>
      <c r="D10" s="10" t="s">
        <v>23</v>
      </c>
      <c r="E10" s="11" t="s">
        <v>134</v>
      </c>
    </row>
    <row r="11" customFormat="false" ht="15" hidden="false" customHeight="false" outlineLevel="0" collapsed="false">
      <c r="B11" s="8" t="s">
        <v>135</v>
      </c>
      <c r="C11" s="10" t="n">
        <f aca="false">C10*'1. Parametros'!C10/('1. Parametros'!C9*60)</f>
        <v>1.755</v>
      </c>
      <c r="D11" s="10" t="s">
        <v>131</v>
      </c>
      <c r="E11" s="11" t="s">
        <v>136</v>
      </c>
    </row>
    <row r="12" customFormat="false" ht="15" hidden="false" customHeight="false" outlineLevel="0" collapsed="false">
      <c r="B12" s="8" t="s">
        <v>137</v>
      </c>
      <c r="C12" s="10" t="n">
        <f aca="false">'1. Parametros'!C16</f>
        <v>40</v>
      </c>
      <c r="D12" s="10" t="s">
        <v>45</v>
      </c>
      <c r="E12" s="11" t="s">
        <v>138</v>
      </c>
    </row>
    <row r="13" customFormat="false" ht="15" hidden="false" customHeight="false" outlineLevel="0" collapsed="false">
      <c r="B13" s="8" t="s">
        <v>139</v>
      </c>
      <c r="C13" s="10" t="n">
        <f aca="false">C12/C11</f>
        <v>22.7920227920228</v>
      </c>
      <c r="D13" s="10" t="s">
        <v>26</v>
      </c>
      <c r="E13" s="11" t="s">
        <v>140</v>
      </c>
    </row>
    <row r="15" customFormat="false" ht="15" hidden="false" customHeight="false" outlineLevel="0" collapsed="false">
      <c r="B15" s="2" t="s">
        <v>141</v>
      </c>
    </row>
    <row r="16" customFormat="false" ht="15" hidden="false" customHeight="false" outlineLevel="0" collapsed="false">
      <c r="B16" s="7" t="s">
        <v>121</v>
      </c>
      <c r="C16" s="7" t="s">
        <v>19</v>
      </c>
      <c r="D16" s="7" t="s">
        <v>20</v>
      </c>
      <c r="E16" s="7" t="s">
        <v>122</v>
      </c>
    </row>
    <row r="17" customFormat="false" ht="15" hidden="false" customHeight="false" outlineLevel="0" collapsed="false">
      <c r="B17" s="8" t="s">
        <v>142</v>
      </c>
      <c r="C17" s="16" t="n">
        <f aca="false">'2. Localidades'!F21</f>
        <v>38</v>
      </c>
      <c r="D17" s="10" t="s">
        <v>143</v>
      </c>
      <c r="E17" s="11" t="s">
        <v>124</v>
      </c>
    </row>
    <row r="18" customFormat="false" ht="15" hidden="false" customHeight="false" outlineLevel="0" collapsed="false">
      <c r="B18" s="8" t="s">
        <v>144</v>
      </c>
      <c r="C18" s="16" t="n">
        <f aca="false">'2. Localidades'!I21</f>
        <v>16</v>
      </c>
      <c r="D18" s="10" t="s">
        <v>145</v>
      </c>
      <c r="E18" s="11" t="s">
        <v>146</v>
      </c>
    </row>
    <row r="19" customFormat="false" ht="15" hidden="false" customHeight="false" outlineLevel="0" collapsed="false">
      <c r="B19" s="8" t="s">
        <v>147</v>
      </c>
      <c r="C19" s="16" t="n">
        <f aca="false">COUNTA('2. Localidades'!B6:B20)</f>
        <v>15</v>
      </c>
      <c r="D19" s="10" t="s">
        <v>148</v>
      </c>
      <c r="E19" s="11" t="s">
        <v>149</v>
      </c>
    </row>
    <row r="20" customFormat="false" ht="15" hidden="false" customHeight="false" outlineLevel="0" collapsed="false">
      <c r="B20" s="8" t="s">
        <v>150</v>
      </c>
      <c r="C20" s="10" t="n">
        <f aca="false">C17/C18</f>
        <v>2.375</v>
      </c>
      <c r="D20" s="10" t="s">
        <v>39</v>
      </c>
      <c r="E20" s="11" t="s">
        <v>151</v>
      </c>
    </row>
    <row r="21" customFormat="false" ht="15" hidden="false" customHeight="false" outlineLevel="0" collapsed="false">
      <c r="B21" s="8" t="s">
        <v>152</v>
      </c>
      <c r="C21" s="10" t="n">
        <f aca="false">C6/C19</f>
        <v>44.8666666666667</v>
      </c>
      <c r="D21" s="10" t="s">
        <v>153</v>
      </c>
      <c r="E21" s="11" t="s">
        <v>154</v>
      </c>
    </row>
    <row r="23" customFormat="false" ht="15" hidden="false" customHeight="false" outlineLevel="0" collapsed="false">
      <c r="B23" s="2" t="s">
        <v>155</v>
      </c>
    </row>
    <row r="24" customFormat="false" ht="15" hidden="false" customHeight="true" outlineLevel="0" collapsed="false">
      <c r="B24" s="20" t="s">
        <v>156</v>
      </c>
      <c r="C24" s="20"/>
      <c r="D24" s="20"/>
      <c r="E24" s="20"/>
    </row>
    <row r="25" customFormat="false" ht="15" hidden="false" customHeight="false" outlineLevel="0" collapsed="false">
      <c r="B25" s="20"/>
      <c r="C25" s="20"/>
      <c r="D25" s="20"/>
      <c r="E25" s="20"/>
    </row>
    <row r="26" customFormat="false" ht="15" hidden="false" customHeight="false" outlineLevel="0" collapsed="false">
      <c r="B26" s="20"/>
      <c r="C26" s="20"/>
      <c r="D26" s="20"/>
      <c r="E26" s="20"/>
    </row>
    <row r="27" customFormat="false" ht="15" hidden="false" customHeight="false" outlineLevel="0" collapsed="false">
      <c r="B27" s="20"/>
      <c r="C27" s="20"/>
      <c r="D27" s="20"/>
      <c r="E27" s="20"/>
    </row>
  </sheetData>
  <mergeCells count="1">
    <mergeCell ref="B24: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48"/>
    <col collapsed="false" customWidth="true" hidden="false" outlineLevel="0" max="3" min="3" style="0" width="18"/>
    <col collapsed="false" customWidth="true" hidden="false" outlineLevel="0" max="4" min="4" style="0" width="14"/>
    <col collapsed="false" customWidth="true" hidden="false" outlineLevel="0" max="5" min="5" style="0" width="50"/>
  </cols>
  <sheetData>
    <row r="2" customFormat="false" ht="19.5" hidden="false" customHeight="true" outlineLevel="0" collapsed="false">
      <c r="B2" s="1" t="s">
        <v>157</v>
      </c>
    </row>
    <row r="3" customFormat="false" ht="21.75" hidden="false" customHeight="true" outlineLevel="0" collapsed="false">
      <c r="B3" s="21" t="s">
        <v>158</v>
      </c>
      <c r="C3" s="21"/>
      <c r="D3" s="21"/>
      <c r="E3" s="21"/>
    </row>
    <row r="5" customFormat="false" ht="15" hidden="false" customHeight="false" outlineLevel="0" collapsed="false">
      <c r="B5" s="2" t="s">
        <v>159</v>
      </c>
    </row>
    <row r="6" customFormat="false" ht="15" hidden="false" customHeight="false" outlineLevel="0" collapsed="false">
      <c r="B6" s="7" t="s">
        <v>160</v>
      </c>
      <c r="C6" s="7" t="s">
        <v>19</v>
      </c>
      <c r="D6" s="7" t="s">
        <v>20</v>
      </c>
      <c r="E6" s="7" t="s">
        <v>161</v>
      </c>
    </row>
    <row r="7" customFormat="false" ht="15" hidden="false" customHeight="false" outlineLevel="0" collapsed="false">
      <c r="B7" s="8" t="s">
        <v>162</v>
      </c>
      <c r="C7" s="16" t="n">
        <f aca="false">'2. Localidades'!H21</f>
        <v>673</v>
      </c>
      <c r="D7" s="10" t="s">
        <v>23</v>
      </c>
      <c r="E7" s="11" t="s">
        <v>163</v>
      </c>
    </row>
    <row r="8" customFormat="false" ht="15" hidden="false" customHeight="false" outlineLevel="0" collapsed="false">
      <c r="B8" s="8" t="s">
        <v>164</v>
      </c>
      <c r="C8" s="16" t="n">
        <f aca="false">'3. Dimensionamiento Edge'!C18</f>
        <v>16</v>
      </c>
      <c r="D8" s="10" t="s">
        <v>145</v>
      </c>
      <c r="E8" s="11" t="s">
        <v>165</v>
      </c>
    </row>
    <row r="9" customFormat="false" ht="15" hidden="false" customHeight="false" outlineLevel="0" collapsed="false">
      <c r="B9" s="8" t="s">
        <v>166</v>
      </c>
      <c r="C9" s="10" t="n">
        <f aca="false">IF(C7&lt;2000,IF(C8&lt;30,4,8),8)</f>
        <v>4</v>
      </c>
      <c r="D9" s="10" t="s">
        <v>167</v>
      </c>
      <c r="E9" s="11" t="s">
        <v>168</v>
      </c>
    </row>
    <row r="10" customFormat="false" ht="15" hidden="false" customHeight="false" outlineLevel="0" collapsed="false">
      <c r="B10" s="8" t="s">
        <v>169</v>
      </c>
      <c r="C10" s="10" t="n">
        <f aca="false">IF(C7&lt;2000,16,32)</f>
        <v>16</v>
      </c>
      <c r="D10" s="10" t="s">
        <v>170</v>
      </c>
      <c r="E10" s="11" t="s">
        <v>171</v>
      </c>
    </row>
    <row r="11" customFormat="false" ht="15" hidden="false" customHeight="false" outlineLevel="0" collapsed="false">
      <c r="B11" s="8" t="s">
        <v>172</v>
      </c>
      <c r="C11" s="10" t="n">
        <f aca="false">60</f>
        <v>60</v>
      </c>
      <c r="D11" s="10" t="s">
        <v>170</v>
      </c>
      <c r="E11" s="11" t="s">
        <v>173</v>
      </c>
    </row>
    <row r="12" customFormat="false" ht="15" hidden="false" customHeight="false" outlineLevel="0" collapsed="false">
      <c r="B12" s="8" t="s">
        <v>174</v>
      </c>
      <c r="C12" s="22" t="n">
        <f aca="false">'5. Almacenamiento y Red'!C15</f>
        <v>48</v>
      </c>
      <c r="D12" s="10" t="s">
        <v>170</v>
      </c>
      <c r="E12" s="11" t="s">
        <v>175</v>
      </c>
    </row>
    <row r="13" customFormat="false" ht="15" hidden="false" customHeight="false" outlineLevel="0" collapsed="false">
      <c r="B13" s="8" t="s">
        <v>176</v>
      </c>
      <c r="C13" s="10" t="n">
        <f aca="false">(C11+C12)*2</f>
        <v>216</v>
      </c>
      <c r="D13" s="10" t="s">
        <v>170</v>
      </c>
      <c r="E13" s="11" t="s">
        <v>177</v>
      </c>
    </row>
    <row r="14" customFormat="false" ht="15" hidden="false" customHeight="false" outlineLevel="0" collapsed="false">
      <c r="B14" s="8" t="s">
        <v>178</v>
      </c>
      <c r="C14" s="10" t="str">
        <f aca="false">"No"</f>
        <v>No</v>
      </c>
      <c r="D14" s="10" t="s">
        <v>179</v>
      </c>
      <c r="E14" s="11" t="s">
        <v>180</v>
      </c>
    </row>
    <row r="15" customFormat="false" ht="15" hidden="false" customHeight="false" outlineLevel="0" collapsed="false">
      <c r="B15" s="8" t="s">
        <v>181</v>
      </c>
      <c r="C15" s="10" t="str">
        <f aca="false">IF(C8&gt;20,"Sí (réplica BD)","Respaldo diario")</f>
        <v>Respaldo diario</v>
      </c>
      <c r="D15" s="10" t="s">
        <v>179</v>
      </c>
      <c r="E15" s="11" t="s">
        <v>182</v>
      </c>
    </row>
    <row r="17" customFormat="false" ht="15" hidden="false" customHeight="false" outlineLevel="0" collapsed="false">
      <c r="B17" s="2" t="s">
        <v>183</v>
      </c>
    </row>
    <row r="18" customFormat="false" ht="15" hidden="false" customHeight="false" outlineLevel="0" collapsed="false">
      <c r="B18" s="7" t="s">
        <v>184</v>
      </c>
      <c r="C18" s="7" t="s">
        <v>185</v>
      </c>
      <c r="D18" s="7" t="s">
        <v>71</v>
      </c>
      <c r="E18" s="7" t="s">
        <v>186</v>
      </c>
    </row>
    <row r="19" customFormat="false" ht="15" hidden="false" customHeight="false" outlineLevel="0" collapsed="false">
      <c r="B19" s="23" t="s">
        <v>187</v>
      </c>
      <c r="C19" s="24" t="str">
        <f aca="false">C9 &amp; " vCPU"</f>
        <v>4 vCPU</v>
      </c>
      <c r="D19" s="24" t="s">
        <v>188</v>
      </c>
      <c r="E19" s="25" t="s">
        <v>189</v>
      </c>
    </row>
    <row r="20" customFormat="false" ht="15" hidden="false" customHeight="false" outlineLevel="0" collapsed="false">
      <c r="B20" s="23" t="s">
        <v>190</v>
      </c>
      <c r="C20" s="24" t="str">
        <f aca="false">C10 &amp; " GB RAM"</f>
        <v>16 GB RAM</v>
      </c>
      <c r="D20" s="24" t="s">
        <v>190</v>
      </c>
      <c r="E20" s="25" t="s">
        <v>191</v>
      </c>
    </row>
    <row r="21" customFormat="false" ht="15" hidden="false" customHeight="false" outlineLevel="0" collapsed="false">
      <c r="B21" s="23" t="s">
        <v>192</v>
      </c>
      <c r="C21" s="24" t="str">
        <f aca="false">C13 &amp; " GB SSD"</f>
        <v>216 GB SSD</v>
      </c>
      <c r="D21" s="24" t="s">
        <v>193</v>
      </c>
      <c r="E21" s="25" t="s">
        <v>194</v>
      </c>
    </row>
    <row r="22" customFormat="false" ht="15" hidden="false" customHeight="false" outlineLevel="0" collapsed="false">
      <c r="B22" s="23" t="s">
        <v>195</v>
      </c>
      <c r="C22" s="24" t="str">
        <f aca="false">C14</f>
        <v>No</v>
      </c>
      <c r="D22" s="24" t="s">
        <v>196</v>
      </c>
      <c r="E22" s="25" t="s">
        <v>197</v>
      </c>
    </row>
    <row r="23" customFormat="false" ht="27.75" hidden="false" customHeight="true" outlineLevel="0" collapsed="false">
      <c r="B23" s="23" t="s">
        <v>198</v>
      </c>
      <c r="C23" s="24" t="str">
        <f aca="false">"Enlace fijo + VPN / IP pública"</f>
        <v>Enlace fijo + VPN / IP pública</v>
      </c>
      <c r="D23" s="24" t="s">
        <v>198</v>
      </c>
      <c r="E23" s="25" t="s">
        <v>199</v>
      </c>
    </row>
    <row r="24" customFormat="false" ht="15" hidden="false" customHeight="false" outlineLevel="0" collapsed="false">
      <c r="B24" s="23" t="s">
        <v>200</v>
      </c>
      <c r="C24" s="24" t="str">
        <f aca="false">"PostgreSQL"</f>
        <v>PostgreSQL</v>
      </c>
      <c r="D24" s="24" t="s">
        <v>201</v>
      </c>
      <c r="E24" s="25" t="s">
        <v>202</v>
      </c>
    </row>
    <row r="25" customFormat="false" ht="15" hidden="false" customHeight="false" outlineLevel="0" collapsed="false">
      <c r="B25" s="23" t="s">
        <v>203</v>
      </c>
      <c r="C25" s="24" t="str">
        <f aca="false">"MinIO / S3"</f>
        <v>MinIO / S3</v>
      </c>
      <c r="D25" s="24" t="s">
        <v>201</v>
      </c>
      <c r="E25" s="25" t="s">
        <v>204</v>
      </c>
    </row>
    <row r="26" customFormat="false" ht="15" hidden="false" customHeight="false" outlineLevel="0" collapsed="false">
      <c r="B26" s="23" t="s">
        <v>205</v>
      </c>
      <c r="C26" s="24" t="str">
        <f aca="false">C15</f>
        <v>Respaldo diario</v>
      </c>
      <c r="D26" s="24" t="s">
        <v>206</v>
      </c>
      <c r="E26" s="25" t="s">
        <v>207</v>
      </c>
    </row>
  </sheetData>
  <mergeCells count="1">
    <mergeCell ref="B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3" min="3" style="0" width="18"/>
    <col collapsed="false" customWidth="true" hidden="false" outlineLevel="0" max="4" min="4" style="0" width="14"/>
    <col collapsed="false" customWidth="true" hidden="false" outlineLevel="0" max="5" min="5" style="0" width="48"/>
  </cols>
  <sheetData>
    <row r="2" customFormat="false" ht="19.5" hidden="false" customHeight="true" outlineLevel="0" collapsed="false">
      <c r="B2" s="1" t="s">
        <v>208</v>
      </c>
    </row>
    <row r="4" customFormat="false" ht="15" hidden="false" customHeight="false" outlineLevel="0" collapsed="false">
      <c r="B4" s="2" t="s">
        <v>209</v>
      </c>
    </row>
    <row r="5" customFormat="false" ht="15" hidden="false" customHeight="false" outlineLevel="0" collapsed="false">
      <c r="B5" s="7" t="s">
        <v>210</v>
      </c>
      <c r="C5" s="7" t="s">
        <v>19</v>
      </c>
      <c r="D5" s="7" t="s">
        <v>20</v>
      </c>
      <c r="E5" s="7" t="s">
        <v>211</v>
      </c>
    </row>
    <row r="6" customFormat="false" ht="15" hidden="false" customHeight="false" outlineLevel="0" collapsed="false">
      <c r="B6" s="8" t="s">
        <v>212</v>
      </c>
      <c r="C6" s="22" t="n">
        <f aca="false">'2. Localidades'!H21</f>
        <v>673</v>
      </c>
      <c r="D6" s="10" t="s">
        <v>23</v>
      </c>
      <c r="E6" s="11" t="s">
        <v>213</v>
      </c>
    </row>
    <row r="7" customFormat="false" ht="15" hidden="false" customHeight="false" outlineLevel="0" collapsed="false">
      <c r="B7" s="8" t="s">
        <v>214</v>
      </c>
      <c r="C7" s="26" t="n">
        <f aca="false">C6*'1. Parametros'!C21</f>
        <v>134.6</v>
      </c>
      <c r="D7" s="10" t="s">
        <v>51</v>
      </c>
      <c r="E7" s="11" t="s">
        <v>215</v>
      </c>
    </row>
    <row r="8" customFormat="false" ht="15" hidden="false" customHeight="false" outlineLevel="0" collapsed="false">
      <c r="B8" s="8" t="s">
        <v>216</v>
      </c>
      <c r="C8" s="27" t="n">
        <f aca="false">C6*'1. Parametros'!C23</f>
        <v>1.346</v>
      </c>
      <c r="D8" s="10" t="s">
        <v>51</v>
      </c>
      <c r="E8" s="11" t="s">
        <v>217</v>
      </c>
    </row>
    <row r="9" customFormat="false" ht="15" hidden="false" customHeight="false" outlineLevel="0" collapsed="false">
      <c r="B9" s="8" t="s">
        <v>218</v>
      </c>
      <c r="C9" s="28" t="n">
        <f aca="false">C6*'1. Parametros'!C8*'1. Parametros'!C25</f>
        <v>14806</v>
      </c>
      <c r="D9" s="10" t="s">
        <v>219</v>
      </c>
      <c r="E9" s="11" t="s">
        <v>220</v>
      </c>
    </row>
    <row r="10" customFormat="false" ht="15" hidden="false" customHeight="false" outlineLevel="0" collapsed="false">
      <c r="B10" s="8" t="s">
        <v>221</v>
      </c>
      <c r="C10" s="26" t="n">
        <f aca="false">C9*('1. Parametros'!C24/'1. Parametros'!C25)*'1. Parametros'!C22*'1. Parametros'!C30</f>
        <v>9085.5</v>
      </c>
      <c r="D10" s="10" t="s">
        <v>51</v>
      </c>
      <c r="E10" s="11" t="s">
        <v>222</v>
      </c>
    </row>
    <row r="11" customFormat="false" ht="15" hidden="false" customHeight="false" outlineLevel="0" collapsed="false">
      <c r="B11" s="8" t="s">
        <v>223</v>
      </c>
      <c r="C11" s="26" t="n">
        <f aca="false">C9*('1. Parametros'!C24/'1. Parametros'!C25)*'1. Parametros'!C29</f>
        <v>302.85</v>
      </c>
      <c r="D11" s="10" t="s">
        <v>51</v>
      </c>
      <c r="E11" s="11" t="s">
        <v>224</v>
      </c>
    </row>
    <row r="12" customFormat="false" ht="15" hidden="false" customHeight="false" outlineLevel="0" collapsed="false">
      <c r="B12" s="8" t="s">
        <v>225</v>
      </c>
      <c r="C12" s="26" t="n">
        <f aca="false">SUM(C7:C11)</f>
        <v>24330.296</v>
      </c>
      <c r="D12" s="10" t="s">
        <v>51</v>
      </c>
      <c r="E12" s="11" t="s">
        <v>226</v>
      </c>
    </row>
    <row r="13" customFormat="false" ht="15" hidden="false" customHeight="false" outlineLevel="0" collapsed="false">
      <c r="B13" s="8" t="s">
        <v>225</v>
      </c>
      <c r="C13" s="27" t="n">
        <f aca="false">C12/1024</f>
        <v>23.7600546875</v>
      </c>
      <c r="D13" s="10" t="s">
        <v>170</v>
      </c>
      <c r="E13" s="11" t="s">
        <v>227</v>
      </c>
    </row>
    <row r="14" customFormat="false" ht="15" hidden="false" customHeight="false" outlineLevel="0" collapsed="false">
      <c r="B14" s="8" t="s">
        <v>228</v>
      </c>
      <c r="C14" s="27" t="n">
        <f aca="false">C13*2</f>
        <v>47.520109375</v>
      </c>
      <c r="D14" s="10" t="s">
        <v>170</v>
      </c>
      <c r="E14" s="11" t="s">
        <v>229</v>
      </c>
    </row>
    <row r="15" customFormat="false" ht="15" hidden="false" customHeight="false" outlineLevel="0" collapsed="false">
      <c r="B15" s="8" t="s">
        <v>230</v>
      </c>
      <c r="C15" s="29" t="n">
        <f aca="false">ROUNDUP(MAX(C14,20),0)</f>
        <v>48</v>
      </c>
      <c r="D15" s="10" t="s">
        <v>170</v>
      </c>
      <c r="E15" s="11" t="s">
        <v>231</v>
      </c>
    </row>
    <row r="17" customFormat="false" ht="15" hidden="false" customHeight="false" outlineLevel="0" collapsed="false">
      <c r="B17" s="2" t="s">
        <v>232</v>
      </c>
    </row>
    <row r="18" customFormat="false" ht="15" hidden="false" customHeight="false" outlineLevel="0" collapsed="false">
      <c r="B18" s="7" t="s">
        <v>210</v>
      </c>
      <c r="C18" s="7" t="s">
        <v>19</v>
      </c>
      <c r="D18" s="7" t="s">
        <v>20</v>
      </c>
      <c r="E18" s="7" t="s">
        <v>211</v>
      </c>
    </row>
    <row r="19" customFormat="false" ht="15" hidden="false" customHeight="false" outlineLevel="0" collapsed="false">
      <c r="B19" s="8" t="s">
        <v>233</v>
      </c>
      <c r="C19" s="22" t="n">
        <f aca="false">'3. Dimensionamiento Edge'!C21</f>
        <v>44.8666666666667</v>
      </c>
      <c r="D19" s="10" t="s">
        <v>153</v>
      </c>
      <c r="E19" s="11" t="s">
        <v>234</v>
      </c>
    </row>
    <row r="20" customFormat="false" ht="15" hidden="false" customHeight="false" outlineLevel="0" collapsed="false">
      <c r="B20" s="8" t="s">
        <v>235</v>
      </c>
      <c r="C20" s="27" t="n">
        <f aca="false">C19*'1. Parametros'!C29</f>
        <v>0.224333333333333</v>
      </c>
      <c r="D20" s="10" t="s">
        <v>236</v>
      </c>
      <c r="E20" s="11" t="s">
        <v>237</v>
      </c>
    </row>
    <row r="21" customFormat="false" ht="15" hidden="false" customHeight="false" outlineLevel="0" collapsed="false">
      <c r="B21" s="8" t="s">
        <v>238</v>
      </c>
      <c r="C21" s="26" t="n">
        <f aca="false">C19*('1. Parametros'!C22+'1. Parametros'!C29)*'1. Parametros'!C30</f>
        <v>6.95433333333333</v>
      </c>
      <c r="D21" s="10" t="s">
        <v>236</v>
      </c>
      <c r="E21" s="11" t="s">
        <v>239</v>
      </c>
    </row>
    <row r="22" customFormat="false" ht="15" hidden="false" customHeight="false" outlineLevel="0" collapsed="false">
      <c r="B22" s="8" t="s">
        <v>240</v>
      </c>
      <c r="C22" s="30" t="n">
        <f aca="false">C21/3600</f>
        <v>0.00193175925925926</v>
      </c>
      <c r="D22" s="10" t="s">
        <v>241</v>
      </c>
      <c r="E22" s="11" t="s">
        <v>242</v>
      </c>
    </row>
    <row r="23" customFormat="false" ht="42" hidden="false" customHeight="true" outlineLevel="0" collapsed="false">
      <c r="B23" s="8" t="s">
        <v>243</v>
      </c>
      <c r="C23" s="31" t="str">
        <f aca="false">"Un enlace LTE/4G basta; satelital solo en Pedernales"</f>
        <v>Un enlace LTE/4G basta; satelital solo en Pedernales</v>
      </c>
      <c r="D23" s="10" t="s">
        <v>179</v>
      </c>
      <c r="E23" s="11" t="s">
        <v>244</v>
      </c>
    </row>
    <row r="25" customFormat="false" ht="15" hidden="false" customHeight="false" outlineLevel="0" collapsed="false">
      <c r="B25" s="4" t="s">
        <v>245</v>
      </c>
    </row>
    <row r="26" customFormat="false" ht="15" hidden="false" customHeight="false" outlineLevel="0" collapsed="false">
      <c r="B26" s="4" t="s">
        <v>246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C25" activeCellId="0" sqref="C25"/>
    </sheetView>
  </sheetViews>
  <sheetFormatPr defaultColWidth="8.6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28"/>
    <col collapsed="false" customWidth="true" hidden="false" outlineLevel="0" max="4" min="4" style="0" width="18"/>
    <col collapsed="false" customWidth="true" hidden="false" outlineLevel="0" max="5" min="5" style="0" width="50"/>
  </cols>
  <sheetData>
    <row r="2" customFormat="false" ht="19.5" hidden="false" customHeight="true" outlineLevel="0" collapsed="false">
      <c r="B2" s="1" t="s">
        <v>247</v>
      </c>
    </row>
    <row r="4" customFormat="false" ht="15" hidden="false" customHeight="false" outlineLevel="0" collapsed="false">
      <c r="B4" s="32" t="s">
        <v>248</v>
      </c>
      <c r="C4" s="32" t="s">
        <v>249</v>
      </c>
      <c r="D4" s="32" t="s">
        <v>71</v>
      </c>
      <c r="E4" s="32" t="s">
        <v>250</v>
      </c>
    </row>
    <row r="5" customFormat="false" ht="15" hidden="false" customHeight="false" outlineLevel="0" collapsed="false">
      <c r="B5" s="33"/>
      <c r="C5" s="8" t="s">
        <v>251</v>
      </c>
      <c r="D5" s="8" t="s">
        <v>252</v>
      </c>
      <c r="E5" s="11"/>
    </row>
    <row r="6" customFormat="false" ht="15" hidden="false" customHeight="false" outlineLevel="0" collapsed="false">
      <c r="B6" s="33"/>
      <c r="C6" s="8" t="s">
        <v>253</v>
      </c>
      <c r="D6" s="8" t="s">
        <v>254</v>
      </c>
      <c r="E6" s="11" t="s">
        <v>255</v>
      </c>
    </row>
    <row r="7" customFormat="false" ht="15" hidden="false" customHeight="false" outlineLevel="0" collapsed="false">
      <c r="B7" s="33"/>
      <c r="C7" s="8" t="s">
        <v>256</v>
      </c>
      <c r="D7" s="8" t="s">
        <v>254</v>
      </c>
      <c r="E7" s="11"/>
    </row>
    <row r="8" customFormat="false" ht="15" hidden="false" customHeight="false" outlineLevel="0" collapsed="false">
      <c r="B8" s="33"/>
      <c r="C8" s="8" t="s">
        <v>257</v>
      </c>
      <c r="D8" s="8" t="s">
        <v>254</v>
      </c>
      <c r="E8" s="11"/>
    </row>
    <row r="9" customFormat="false" ht="15" hidden="false" customHeight="false" outlineLevel="0" collapsed="false">
      <c r="B9" s="33"/>
      <c r="C9" s="8" t="s">
        <v>258</v>
      </c>
      <c r="D9" s="8" t="s">
        <v>259</v>
      </c>
      <c r="E9" s="11" t="s">
        <v>260</v>
      </c>
    </row>
    <row r="10" customFormat="false" ht="15" hidden="false" customHeight="false" outlineLevel="0" collapsed="false">
      <c r="B10" s="33"/>
      <c r="C10" s="8" t="s">
        <v>261</v>
      </c>
      <c r="D10" s="8" t="s">
        <v>262</v>
      </c>
      <c r="E10" s="11" t="s">
        <v>263</v>
      </c>
    </row>
    <row r="11" customFormat="false" ht="15" hidden="false" customHeight="false" outlineLevel="0" collapsed="false">
      <c r="B11" s="33"/>
      <c r="C11" s="8" t="s">
        <v>264</v>
      </c>
      <c r="D11" s="8" t="s">
        <v>265</v>
      </c>
      <c r="E11" s="11" t="s">
        <v>266</v>
      </c>
    </row>
    <row r="12" customFormat="false" ht="15" hidden="false" customHeight="false" outlineLevel="0" collapsed="false">
      <c r="B12" s="33"/>
      <c r="C12" s="8" t="s">
        <v>267</v>
      </c>
      <c r="D12" s="8" t="s">
        <v>268</v>
      </c>
      <c r="E12" s="11" t="s">
        <v>269</v>
      </c>
    </row>
    <row r="14" customFormat="false" ht="15" hidden="false" customHeight="false" outlineLevel="0" collapsed="false">
      <c r="B14" s="32" t="s">
        <v>69</v>
      </c>
      <c r="C14" s="32" t="s">
        <v>249</v>
      </c>
      <c r="D14" s="32" t="s">
        <v>71</v>
      </c>
      <c r="E14" s="32" t="s">
        <v>250</v>
      </c>
    </row>
    <row r="15" customFormat="false" ht="15" hidden="false" customHeight="false" outlineLevel="0" collapsed="false">
      <c r="B15" s="33"/>
      <c r="C15" s="8" t="s">
        <v>251</v>
      </c>
      <c r="D15" s="8" t="s">
        <v>252</v>
      </c>
      <c r="E15" s="11"/>
    </row>
    <row r="16" customFormat="false" ht="15" hidden="false" customHeight="false" outlineLevel="0" collapsed="false">
      <c r="B16" s="33"/>
      <c r="C16" s="8" t="s">
        <v>256</v>
      </c>
      <c r="D16" s="8" t="s">
        <v>254</v>
      </c>
      <c r="E16" s="11"/>
    </row>
    <row r="17" customFormat="false" ht="15" hidden="false" customHeight="false" outlineLevel="0" collapsed="false">
      <c r="B17" s="33"/>
      <c r="C17" s="8" t="s">
        <v>270</v>
      </c>
      <c r="D17" s="8" t="s">
        <v>254</v>
      </c>
      <c r="E17" s="11"/>
    </row>
    <row r="18" customFormat="false" ht="15" hidden="false" customHeight="false" outlineLevel="0" collapsed="false">
      <c r="B18" s="33"/>
      <c r="C18" s="8" t="s">
        <v>271</v>
      </c>
      <c r="D18" s="8" t="s">
        <v>268</v>
      </c>
      <c r="E18" s="11" t="s">
        <v>272</v>
      </c>
    </row>
    <row r="19" customFormat="false" ht="15" hidden="false" customHeight="false" outlineLevel="0" collapsed="false">
      <c r="B19" s="33"/>
      <c r="C19" s="8" t="s">
        <v>273</v>
      </c>
      <c r="D19" s="8" t="s">
        <v>268</v>
      </c>
      <c r="E19" s="11" t="s">
        <v>274</v>
      </c>
    </row>
    <row r="21" customFormat="false" ht="15" hidden="false" customHeight="false" outlineLevel="0" collapsed="false">
      <c r="B21" s="32" t="s">
        <v>275</v>
      </c>
      <c r="C21" s="32" t="s">
        <v>249</v>
      </c>
      <c r="D21" s="32" t="s">
        <v>71</v>
      </c>
      <c r="E21" s="32" t="s">
        <v>250</v>
      </c>
    </row>
    <row r="22" customFormat="false" ht="15" hidden="false" customHeight="false" outlineLevel="0" collapsed="false">
      <c r="B22" s="33"/>
      <c r="C22" s="8" t="s">
        <v>251</v>
      </c>
      <c r="D22" s="8" t="s">
        <v>252</v>
      </c>
      <c r="E22" s="11"/>
    </row>
    <row r="23" customFormat="false" ht="15" hidden="false" customHeight="false" outlineLevel="0" collapsed="false">
      <c r="B23" s="33"/>
      <c r="C23" s="8" t="s">
        <v>258</v>
      </c>
      <c r="D23" s="8" t="s">
        <v>259</v>
      </c>
      <c r="E23" s="11"/>
    </row>
    <row r="24" customFormat="false" ht="15" hidden="false" customHeight="false" outlineLevel="0" collapsed="false">
      <c r="B24" s="33"/>
      <c r="C24" s="8" t="s">
        <v>276</v>
      </c>
      <c r="D24" s="8" t="s">
        <v>268</v>
      </c>
      <c r="E24" s="11" t="s">
        <v>277</v>
      </c>
    </row>
    <row r="25" customFormat="false" ht="15" hidden="false" customHeight="false" outlineLevel="0" collapsed="false">
      <c r="B25" s="33"/>
      <c r="C25" s="8" t="s">
        <v>267</v>
      </c>
      <c r="D25" s="8" t="s">
        <v>268</v>
      </c>
      <c r="E25" s="11" t="s">
        <v>278</v>
      </c>
    </row>
    <row r="26" customFormat="false" ht="15" hidden="false" customHeight="false" outlineLevel="0" collapsed="false">
      <c r="B26" s="33"/>
      <c r="C26" s="8" t="s">
        <v>279</v>
      </c>
      <c r="D26" s="8" t="s">
        <v>280</v>
      </c>
      <c r="E26" s="11" t="s">
        <v>281</v>
      </c>
    </row>
    <row r="28" customFormat="false" ht="15" hidden="false" customHeight="false" outlineLevel="0" collapsed="false">
      <c r="B28" s="32" t="s">
        <v>282</v>
      </c>
      <c r="C28" s="32" t="s">
        <v>249</v>
      </c>
      <c r="D28" s="32" t="s">
        <v>71</v>
      </c>
      <c r="E28" s="32" t="s">
        <v>250</v>
      </c>
    </row>
    <row r="29" customFormat="false" ht="15" hidden="false" customHeight="false" outlineLevel="0" collapsed="false">
      <c r="B29" s="33"/>
      <c r="C29" s="8" t="s">
        <v>251</v>
      </c>
      <c r="D29" s="8" t="s">
        <v>252</v>
      </c>
      <c r="E29" s="11"/>
    </row>
    <row r="30" customFormat="false" ht="15" hidden="false" customHeight="false" outlineLevel="0" collapsed="false">
      <c r="B30" s="33"/>
      <c r="C30" s="8" t="s">
        <v>283</v>
      </c>
      <c r="D30" s="8" t="s">
        <v>284</v>
      </c>
      <c r="E30" s="11"/>
    </row>
    <row r="31" customFormat="false" ht="15" hidden="false" customHeight="false" outlineLevel="0" collapsed="false">
      <c r="B31" s="33"/>
      <c r="C31" s="8" t="s">
        <v>285</v>
      </c>
      <c r="D31" s="8" t="s">
        <v>254</v>
      </c>
      <c r="E31" s="11" t="s">
        <v>286</v>
      </c>
    </row>
    <row r="32" customFormat="false" ht="15" hidden="false" customHeight="false" outlineLevel="0" collapsed="false">
      <c r="B32" s="33"/>
      <c r="C32" s="8" t="s">
        <v>287</v>
      </c>
      <c r="D32" s="8" t="s">
        <v>254</v>
      </c>
      <c r="E32" s="11"/>
    </row>
    <row r="33" customFormat="false" ht="15" hidden="false" customHeight="false" outlineLevel="0" collapsed="false">
      <c r="B33" s="33"/>
      <c r="C33" s="8" t="s">
        <v>267</v>
      </c>
      <c r="D33" s="8" t="s">
        <v>268</v>
      </c>
      <c r="E33" s="11" t="s">
        <v>288</v>
      </c>
    </row>
    <row r="35" customFormat="false" ht="15" hidden="false" customHeight="false" outlineLevel="0" collapsed="false">
      <c r="B35" s="32" t="s">
        <v>289</v>
      </c>
      <c r="C35" s="32" t="s">
        <v>249</v>
      </c>
      <c r="D35" s="32" t="s">
        <v>71</v>
      </c>
      <c r="E35" s="32" t="s">
        <v>250</v>
      </c>
    </row>
    <row r="36" customFormat="false" ht="15" hidden="false" customHeight="false" outlineLevel="0" collapsed="false">
      <c r="B36" s="33"/>
      <c r="C36" s="8" t="s">
        <v>251</v>
      </c>
      <c r="D36" s="8" t="s">
        <v>252</v>
      </c>
      <c r="E36" s="11"/>
    </row>
    <row r="37" customFormat="false" ht="15" hidden="false" customHeight="false" outlineLevel="0" collapsed="false">
      <c r="B37" s="33"/>
      <c r="C37" s="8" t="s">
        <v>290</v>
      </c>
      <c r="D37" s="8" t="s">
        <v>291</v>
      </c>
      <c r="E37" s="11"/>
    </row>
    <row r="38" customFormat="false" ht="15" hidden="false" customHeight="false" outlineLevel="0" collapsed="false">
      <c r="B38" s="33"/>
      <c r="C38" s="8" t="s">
        <v>292</v>
      </c>
      <c r="D38" s="8" t="s">
        <v>293</v>
      </c>
      <c r="E38" s="11" t="s">
        <v>294</v>
      </c>
    </row>
    <row r="39" customFormat="false" ht="15" hidden="false" customHeight="false" outlineLevel="0" collapsed="false">
      <c r="B39" s="33"/>
      <c r="C39" s="8" t="s">
        <v>295</v>
      </c>
      <c r="D39" s="8" t="s">
        <v>280</v>
      </c>
      <c r="E39" s="11"/>
    </row>
    <row r="40" customFormat="false" ht="15" hidden="false" customHeight="false" outlineLevel="0" collapsed="false">
      <c r="B40" s="33"/>
      <c r="C40" s="8" t="s">
        <v>296</v>
      </c>
      <c r="D40" s="8" t="s">
        <v>297</v>
      </c>
      <c r="E40" s="11" t="s">
        <v>298</v>
      </c>
    </row>
    <row r="41" customFormat="false" ht="15" hidden="false" customHeight="false" outlineLevel="0" collapsed="false">
      <c r="B41" s="33"/>
      <c r="C41" s="8" t="s">
        <v>299</v>
      </c>
      <c r="D41" s="8" t="s">
        <v>268</v>
      </c>
      <c r="E41" s="11" t="s">
        <v>300</v>
      </c>
    </row>
    <row r="42" customFormat="false" ht="15" hidden="false" customHeight="false" outlineLevel="0" collapsed="false">
      <c r="B42" s="33"/>
      <c r="C42" s="8" t="s">
        <v>301</v>
      </c>
      <c r="D42" s="8" t="s">
        <v>302</v>
      </c>
      <c r="E42" s="11" t="s">
        <v>303</v>
      </c>
    </row>
    <row r="44" customFormat="false" ht="15" hidden="false" customHeight="false" outlineLevel="0" collapsed="false">
      <c r="B44" s="3" t="s">
        <v>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2026-07-04T15:48:14Z</dcterms:created>
  <dc:creator>openpyxl</dc:creator>
  <dc:description/>
  <dc:language>en-US</dc:language>
  <cp:lastModifiedBy>Gregory Moreno</cp:lastModifiedBy>
  <dcterms:modified xsi:type="dcterms:W3CDTF">2026-07-04T16:56:40Z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