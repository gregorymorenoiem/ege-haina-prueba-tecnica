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Equipos Seleccionados" sheetId="2" state="visible" r:id="rId4"/>
    <sheet name="Detalle por Proyecto" sheetId="3" state="visible" r:id="rId5"/>
    <sheet name="Inventario de Cámaras" sheetId="4" state="visible" r:id="rId6"/>
    <sheet name="Campañas de Dron" sheetId="5" state="visible" r:id="rId7"/>
    <sheet name="Criterios y Nota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<sst xmlns="http://schemas.openxmlformats.org/spreadsheetml/2006/main" count="499" uniqueCount="286">
  <si>
    <t xml:space="preserve">PLAN DE MONITOREO TERMOGRÁFICO — EGE HAINA</t>
  </si>
  <si>
    <t xml:space="preserve">Clasificación por proyecto: cámaras fijas, cámaras portátiles y necesidad de dron (cantidad máxima del rango estimado)</t>
  </si>
  <si>
    <t xml:space="preserve">TOTALES DEL PORTAFOLIO</t>
  </si>
  <si>
    <t xml:space="preserve">Categoría</t>
  </si>
  <si>
    <t xml:space="preserve">Cantidad</t>
  </si>
  <si>
    <t xml:space="preserve">Detalle</t>
  </si>
  <si>
    <t xml:space="preserve">Cámaras FIJAS</t>
  </si>
  <si>
    <t xml:space="preserve">Transformadores de potencia de térmicas grandes + BESS de Esperanza</t>
  </si>
  <si>
    <t xml:space="preserve">Cámaras PORTÁTILES</t>
  </si>
  <si>
    <t xml:space="preserve">Una por sitio operativo (centrales cercanas comparten)</t>
  </si>
  <si>
    <t xml:space="preserve">Cobertura de DRON</t>
  </si>
  <si>
    <t xml:space="preserve">5 drones</t>
  </si>
  <si>
    <t xml:space="preserve">1 dron dedicado por zona de campaña (6 localidades en 5 campañas)</t>
  </si>
  <si>
    <t xml:space="preserve">DESGLOSE DE LAS 17 CÁMARAS FIJAS</t>
  </si>
  <si>
    <t xml:space="preserve">Central</t>
  </si>
  <si>
    <t xml:space="preserve">Fijas</t>
  </si>
  <si>
    <t xml:space="preserve">Propósito</t>
  </si>
  <si>
    <t xml:space="preserve">SIBA Energy</t>
  </si>
  <si>
    <t xml:space="preserve">2 transformadores/barra + 1 carcasa/cojinetes de turbina</t>
  </si>
  <si>
    <t xml:space="preserve">Quisqueya 2</t>
  </si>
  <si>
    <t xml:space="preserve">2 transformadores principales + 1 barra crítica/turbina</t>
  </si>
  <si>
    <t xml:space="preserve">Central Haina</t>
  </si>
  <si>
    <t xml:space="preserve">Transformador principal + barra de subestación</t>
  </si>
  <si>
    <t xml:space="preserve">Sultana del Este</t>
  </si>
  <si>
    <t xml:space="preserve">Transformador principal + barra principal</t>
  </si>
  <si>
    <t xml:space="preserve">Barahona Carbón</t>
  </si>
  <si>
    <t xml:space="preserve">Transformador + barra/punto crítico de bandas de carbón</t>
  </si>
  <si>
    <t xml:space="preserve">Central Pedernales</t>
  </si>
  <si>
    <t xml:space="preserve">Transformador/motor crítico (único proveedor de la ciudad)</t>
  </si>
  <si>
    <t xml:space="preserve">BESS Esperanza</t>
  </si>
  <si>
    <t xml:space="preserve">Monitoreo continuo de celdas/racks contra fuga térmica</t>
  </si>
  <si>
    <t xml:space="preserve">TOTAL</t>
  </si>
  <si>
    <t xml:space="preserve">EQUIPOS DE TERMOGRAFÍA SELECCIONADOS — PROPUESTA DE ADQUISICIÓN</t>
  </si>
  <si>
    <t xml:space="preserve">Modelos, especificaciones clave, cantidad fija y justificación de la selección</t>
  </si>
  <si>
    <t xml:space="preserve">Modelo seleccionado</t>
  </si>
  <si>
    <t xml:space="preserve">Resolución</t>
  </si>
  <si>
    <t xml:space="preserve">NETD / Sensibilidad</t>
  </si>
  <si>
    <t xml:space="preserve">Radiométrico</t>
  </si>
  <si>
    <t xml:space="preserve">Uso / Asignación</t>
  </si>
  <si>
    <t xml:space="preserve">Por qué se seleccionó</t>
  </si>
  <si>
    <t xml:space="preserve">CÁMARA FIJA</t>
  </si>
  <si>
    <t xml:space="preserve">FLIR A70 (Serie A)</t>
  </si>
  <si>
    <t xml:space="preserve">640 × 480</t>
  </si>
  <si>
    <t xml:space="preserve">&lt; 30 mK</t>
  </si>
  <si>
    <t xml:space="preserve">Sí</t>
  </si>
  <si>
    <t xml:space="preserve">Transformadores principales de térmicas grandes (SIBA, Quisqueya 2, Haina, Sultana)</t>
  </si>
  <si>
    <t xml:space="preserve">Máxima resolución para el activo cuya falla saca la planta; condition monitoring continuo 24/7 con alarma por umbral e integración a SCADA.</t>
  </si>
  <si>
    <t xml:space="preserve">FLIR A50 (Serie A)</t>
  </si>
  <si>
    <t xml:space="preserve">464 × 348</t>
  </si>
  <si>
    <t xml:space="preserve">Barras secundarias, turbinas y térmicas menores (Barahona, Pedernales)</t>
  </si>
  <si>
    <t xml:space="preserve">Resolución suficiente para puntos secundarios a menor costo unitario; misma plataforma fija integrable.</t>
  </si>
  <si>
    <t xml:space="preserve">FLIR A70 (config. Smart Sensor / early-fire)</t>
  </si>
  <si>
    <t xml:space="preserve">Contenedores del BESS de Esperanza</t>
  </si>
  <si>
    <t xml:space="preserve">Detección temprana de fuga térmica (thermal runaway) e incendio; capa de seguridad adicional al BMS, integrable al sistema de supresión.</t>
  </si>
  <si>
    <t xml:space="preserve">CÁMARA PORTÁTIL</t>
  </si>
  <si>
    <t xml:space="preserve">FLIR T560 + teleobjetivo 6°</t>
  </si>
  <si>
    <t xml:space="preserve">&lt; 40 mK (lente 24°)</t>
  </si>
  <si>
    <t xml:space="preserve">Térmicas y subestaciones del Este (Quisqueya 2, Sultana) y SIBA / Haina</t>
  </si>
  <si>
    <t xml:space="preserve">Alta resolución, lente rotatorio 180°, autofoco láser y modo ruta de inspección; teleobjetivo para medir energizado a distancia segura.</t>
  </si>
  <si>
    <t xml:space="preserve">FLIR E96 (Serie Exx)</t>
  </si>
  <si>
    <t xml:space="preserve">Corredor eólico Sur, Sajoma, complejo Esperanza, Tornasol, Girasol, Pedernales</t>
  </si>
  <si>
    <t xml:space="preserve">Única variante de la Serie Exx con 640×480 real (E76=320×240, E86=464×348); mantiene la resolución de la T560 a menor costo. Suficiente para inversores, combiner y tableros de base de torre.</t>
  </si>
  <si>
    <t xml:space="preserve">DRON</t>
  </si>
  <si>
    <t xml:space="preserve">DJI Matrice 4T (kit energía)</t>
  </si>
  <si>
    <t xml:space="preserve">640 × 512 nativo / 1280 × 1024 (Super Res.)</t>
  </si>
  <si>
    <t xml:space="preserve">≤ 50 mK</t>
  </si>
  <si>
    <t xml:space="preserve">Un dron dedicado por zona de campaña: (1) corredor eólico Sur, (2) complejo Esperanza, (3) Girasol, (4) Sajoma, (5) Tornasol</t>
  </si>
  <si>
    <t xml:space="preserve">Sensor radiométrico para defecto a nivel de celda; zoom 112× para palas/góndolas a distancia segura; resistencia a viento 12 m/s. Se asigna 1 dron por cada zona de campaña, para inspección inmediata post-evento (tormenta/granizo) sin depender de traslados entre regiones y con personal local capacitado.</t>
  </si>
  <si>
    <t xml:space="preserve">TOTAL DE EQUIPOS</t>
  </si>
  <si>
    <t xml:space="preserve">17 fijas · 11 portátiles · 5 drones</t>
  </si>
  <si>
    <t xml:space="preserve">CRITERIOS DE SELECCIÓN</t>
  </si>
  <si>
    <t xml:space="preserve">Resolución (píxeles)</t>
  </si>
  <si>
    <t xml:space="preserve">640×480 / 640×512 es el estándar mínimo profesional para inspección eléctrica de potencia e inspección aérea de módulos solares. El A70 (640) se reserva para transformadores críticos y BESS; el A50 (464) para puntos secundarios.</t>
  </si>
  <si>
    <t xml:space="preserve">Sensibilidad térmica (NETD)</t>
  </si>
  <si>
    <t xml:space="preserve">Un NETD &lt; 50 mK permite detectar calentamientos incipientes contra fondos fríos (cielo/nubes). Todos los equipos seleccionados cumplen o superan ese umbral.</t>
  </si>
  <si>
    <t xml:space="preserve">Medición radiométrica</t>
  </si>
  <si>
    <t xml:space="preserve">Todos los equipos guardan temperatura real por píxel, requisito para fijar umbrales de alarma, comparar componentes y hacer análisis de tendencia.</t>
  </si>
  <si>
    <t xml:space="preserve">Ambiente</t>
  </si>
  <si>
    <t xml:space="preserve">Costa/salinidad (Haina, Sultana, Barahona, Pedernales) → fijas en envolvente IP66. Sol intenso → portátiles con visor legible bajo sol. Viento en eólicos → dron resistente a 12 m/s.</t>
  </si>
  <si>
    <t xml:space="preserve">Rodamientos de motores</t>
  </si>
  <si>
    <t xml:space="preserve">La cámara no es la mejor herramienta para rodamientos; vibración y RTD embebidos detectan antes. No se dimensionaron cámaras adicionales por este concepto.</t>
  </si>
  <si>
    <t xml:space="preserve">Ajuste final</t>
  </si>
  <si>
    <t xml:space="preserve">El reparto A70/A50 y T560/Exx debe afinarse con el inventario real de transformadores de cada subestación. Precios y condiciones: cotización del distribuidor autorizado FLIR/DJI en RD.</t>
  </si>
  <si>
    <t xml:space="preserve">DETALLE POR PROYECTO — CÁMARAS FIJAS, PORTÁTILES Y DRON</t>
  </si>
  <si>
    <t xml:space="preserve">Provincia</t>
  </si>
  <si>
    <t xml:space="preserve">Proyecto</t>
  </si>
  <si>
    <t xml:space="preserve">Tecnología / Capacidad</t>
  </si>
  <si>
    <t xml:space="preserve">Cám. Fijas</t>
  </si>
  <si>
    <t xml:space="preserve">Cám. Portátiles</t>
  </si>
  <si>
    <t xml:space="preserve">Dron</t>
  </si>
  <si>
    <t xml:space="preserve">Propósito de las cámaras</t>
  </si>
  <si>
    <t xml:space="preserve">Notas</t>
  </si>
  <si>
    <t xml:space="preserve">San Cristóbal</t>
  </si>
  <si>
    <t xml:space="preserve">Parque Solar Girasol</t>
  </si>
  <si>
    <t xml:space="preserve">Solar FV — 120 MW</t>
  </si>
  <si>
    <t xml:space="preserve">Portátil: inversores, combiner boxes, cajas de string, MT y subestación colectora. Dron: módulos (hot spots, diodos, PID, strings apagados).</t>
  </si>
  <si>
    <t xml:space="preserve">Extensión grande de paneles → dron obligatorio.</t>
  </si>
  <si>
    <t xml:space="preserve">Gas natural / ciclo combinado — ~190 MW</t>
  </si>
  <si>
    <t xml:space="preserve">No</t>
  </si>
  <si>
    <t xml:space="preserve">Fijas: (1) transformador principal, (2) 2do transformador/barra crítica, (3) carcasa/cojinetes de turbina. Portátil: tableros, CCM, motores auxiliares, HRSG, trampas de vapor.</t>
  </si>
  <si>
    <t xml:space="preserve">Central crítica: mayor cantidad de fijas.</t>
  </si>
  <si>
    <t xml:space="preserve">HFO / Diésel — 100 MW</t>
  </si>
  <si>
    <t xml:space="preserve">Fijas: (1) transformador principal, (2) barra principal de subestación. Portátil: motores, tableros, CCM, conexiones.</t>
  </si>
  <si>
    <t xml:space="preserve">San Pedro de Macorís</t>
  </si>
  <si>
    <t xml:space="preserve">Gas natural — 225 MW</t>
  </si>
  <si>
    <t xml:space="preserve">Fijas: (1) transformador #1, (2) transformador #2, (3) barra crítica/turbina. Portátil: tableros, CCM, motores, sistema de combustible, intercambiadores.</t>
  </si>
  <si>
    <t xml:space="preserve">Comparte portátil con Quisqueya Solar (mismo sitio).</t>
  </si>
  <si>
    <t xml:space="preserve">Quisqueya Solar</t>
  </si>
  <si>
    <t xml:space="preserve">Solar FV — 1.5 MW</t>
  </si>
  <si>
    <t xml:space="preserve">Se cubre con la portátil de Quisqueya 2. Inspección a mano por tamaño reducido.</t>
  </si>
  <si>
    <t xml:space="preserve">Muy pequeño; sin equipo propio.</t>
  </si>
  <si>
    <t xml:space="preserve">HFO / Diésel — 153.9 MW</t>
  </si>
  <si>
    <t xml:space="preserve">Fijas: (1) transformador principal, (2) barra principal. Portátil: rodamientos y escapes de múltiples motores diésel, tableros, CCM.</t>
  </si>
  <si>
    <t xml:space="preserve">Muchos motores diésel = muchos puntos en ronda.</t>
  </si>
  <si>
    <t xml:space="preserve">Barahona</t>
  </si>
  <si>
    <t xml:space="preserve">Central Barahona Carbón</t>
  </si>
  <si>
    <t xml:space="preserve">Carbón — ~52 MW</t>
  </si>
  <si>
    <t xml:space="preserve">Fijas: (1) transformador principal, (2) barra/punto crítico de bandas. Portátil: bandas transportadoras de carbón, motores, precipitadores electrostáticos, tableros.</t>
  </si>
  <si>
    <t xml:space="preserve">Parque Eólico Larimar 1 y 2</t>
  </si>
  <si>
    <t xml:space="preserve">Eólico — ~97.8 MW</t>
  </si>
  <si>
    <t xml:space="preserve">Portátil: tableros base de torre, transformadores de turbina, convertidores. Dron: góndolas (gearbox, generador, rodamientos) y palas en altura.</t>
  </si>
  <si>
    <t xml:space="preserve">Portátil cubre también Los Cocos (mismo corredor).</t>
  </si>
  <si>
    <t xml:space="preserve">Parque Eólico Los Cocos 1 y 2</t>
  </si>
  <si>
    <t xml:space="preserve">Eólico — ~77.2 MW</t>
  </si>
  <si>
    <t xml:space="preserve">Comparte portátil de Larimar. Dron: góndolas y palas (misma campaña que Larimar).</t>
  </si>
  <si>
    <t xml:space="preserve">Mismo corredor eólico Sur.</t>
  </si>
  <si>
    <t xml:space="preserve">Pedernales</t>
  </si>
  <si>
    <t xml:space="preserve">Sistema aislado — ~5-7.6 MW</t>
  </si>
  <si>
    <t xml:space="preserve">Fija: transformador/motor crítico. Portátil: motores, tablero principal, conexiones.</t>
  </si>
  <si>
    <t xml:space="preserve">Único proveedor de la ciudad: no puede fallar.</t>
  </si>
  <si>
    <t xml:space="preserve">Parque Eólico Los Cocos 1 (Juancho)</t>
  </si>
  <si>
    <t xml:space="preserve">Eólico</t>
  </si>
  <si>
    <t xml:space="preserve">Comparte portátil del corredor Barahona. Dron: góndolas y palas.</t>
  </si>
  <si>
    <t xml:space="preserve">Misma campaña del corredor Sur.</t>
  </si>
  <si>
    <t xml:space="preserve">Parque Solar Sajoma</t>
  </si>
  <si>
    <t xml:space="preserve">Solar FV — 80 MW</t>
  </si>
  <si>
    <t xml:space="preserve">Portátil: inversores, combiner boxes, MT. Dron: módulos (hot spots, diodos, PID).</t>
  </si>
  <si>
    <t xml:space="preserve">Extensión de paneles → dron.</t>
  </si>
  <si>
    <t xml:space="preserve">Valverde</t>
  </si>
  <si>
    <t xml:space="preserve">Esperanza Solar I</t>
  </si>
  <si>
    <t xml:space="preserve">Solar FV — 90 MWp</t>
  </si>
  <si>
    <t xml:space="preserve">Portátil (cubre todo el complejo): inversores, combiner, subestación colectora, MT. Dron: módulos solares.</t>
  </si>
  <si>
    <t xml:space="preserve">1 portátil para todo el complejo Esperanza.</t>
  </si>
  <si>
    <t xml:space="preserve">Esperanza Solar II</t>
  </si>
  <si>
    <t xml:space="preserve">Solar FV — en construcción</t>
  </si>
  <si>
    <t xml:space="preserve">Comparte portátil del complejo. Dron: módulos (misma campaña).</t>
  </si>
  <si>
    <t xml:space="preserve">Parque Eólico Esperanza</t>
  </si>
  <si>
    <t xml:space="preserve">Eólico — 49.5 MW</t>
  </si>
  <si>
    <t xml:space="preserve">Comparte portátil del complejo. Dron: góndolas y palas.</t>
  </si>
  <si>
    <t xml:space="preserve">Operación 2do semestre 2026.</t>
  </si>
  <si>
    <t xml:space="preserve">BESS Esperanza (previsto)</t>
  </si>
  <si>
    <t xml:space="preserve">Almacenamiento — ~200 MWh</t>
  </si>
  <si>
    <t xml:space="preserve">Fijas: monitoreo continuo de celdas/racks en contenedores contra fuga térmica (thermal runaway).</t>
  </si>
  <si>
    <t xml:space="preserve">Punto que MÁS justifica cámara fija de todo el portafolio.</t>
  </si>
  <si>
    <t xml:space="preserve">Peravia</t>
  </si>
  <si>
    <t xml:space="preserve">Parque Solar Tornasol</t>
  </si>
  <si>
    <t xml:space="preserve">Solar FV — 48.29 MWn / 70 MWp</t>
  </si>
  <si>
    <t xml:space="preserve">Portátil: inversores, combiner boxes, subestación. Dron: módulos solares.</t>
  </si>
  <si>
    <t xml:space="preserve">Nizao.</t>
  </si>
  <si>
    <t xml:space="preserve">5 drones / 6 localidades</t>
  </si>
  <si>
    <t xml:space="preserve">INVENTARIO DE CÁMARAS — UNA FILA POR EQUIPO (para cotización)</t>
  </si>
  <si>
    <t xml:space="preserve">ID</t>
  </si>
  <si>
    <t xml:space="preserve">Tipo</t>
  </si>
  <si>
    <t xml:space="preserve">Central / Proyecto</t>
  </si>
  <si>
    <t xml:space="preserve">Modelo específico</t>
  </si>
  <si>
    <t xml:space="preserve">Ubicación exacta de la cámara</t>
  </si>
  <si>
    <t xml:space="preserve">Frecuencia sugerida</t>
  </si>
  <si>
    <t xml:space="preserve">F-01</t>
  </si>
  <si>
    <t xml:space="preserve">Fija</t>
  </si>
  <si>
    <t xml:space="preserve">FLIR A70 (640×480)</t>
  </si>
  <si>
    <t xml:space="preserve">Transformador principal</t>
  </si>
  <si>
    <t xml:space="preserve">Sobrecalentamiento de bujes, radiadores y conexiones</t>
  </si>
  <si>
    <t xml:space="preserve">Continuo</t>
  </si>
  <si>
    <t xml:space="preserve">F-02</t>
  </si>
  <si>
    <t xml:space="preserve">FLIR A50 (464×348)</t>
  </si>
  <si>
    <t xml:space="preserve">2do transformador / barra crítica</t>
  </si>
  <si>
    <t xml:space="preserve">Puntos calientes en barra y transformación</t>
  </si>
  <si>
    <t xml:space="preserve">F-03</t>
  </si>
  <si>
    <t xml:space="preserve">Carcasa / cojinetes de turbina</t>
  </si>
  <si>
    <t xml:space="preserve">Sobrecalentamiento de cojinetes</t>
  </si>
  <si>
    <t xml:space="preserve">F-04</t>
  </si>
  <si>
    <t xml:space="preserve">Transformador principal #1</t>
  </si>
  <si>
    <t xml:space="preserve">Bujes, radiadores, conexiones</t>
  </si>
  <si>
    <t xml:space="preserve">F-05</t>
  </si>
  <si>
    <t xml:space="preserve">Transformador principal #2</t>
  </si>
  <si>
    <t xml:space="preserve">F-06</t>
  </si>
  <si>
    <t xml:space="preserve">Barra crítica / turbina</t>
  </si>
  <si>
    <t xml:space="preserve">Puntos calientes en barra / carcasa</t>
  </si>
  <si>
    <t xml:space="preserve">F-07</t>
  </si>
  <si>
    <t xml:space="preserve">F-08</t>
  </si>
  <si>
    <t xml:space="preserve">Barra principal de subestación</t>
  </si>
  <si>
    <t xml:space="preserve">Conexiones y empalmes bajo carga</t>
  </si>
  <si>
    <t xml:space="preserve">F-09</t>
  </si>
  <si>
    <t xml:space="preserve">F-10</t>
  </si>
  <si>
    <t xml:space="preserve">Barra principal</t>
  </si>
  <si>
    <t xml:space="preserve">F-11</t>
  </si>
  <si>
    <t xml:space="preserve">F-12</t>
  </si>
  <si>
    <t xml:space="preserve">Barra / punto crítico de bandas</t>
  </si>
  <si>
    <t xml:space="preserve">Barra y motores de bandas de carbón</t>
  </si>
  <si>
    <t xml:space="preserve">F-13</t>
  </si>
  <si>
    <t xml:space="preserve">Transformador / motor crítico</t>
  </si>
  <si>
    <t xml:space="preserve">Único proveedor de la ciudad — no puede fallar</t>
  </si>
  <si>
    <t xml:space="preserve">F-14</t>
  </si>
  <si>
    <t xml:space="preserve">FLIR A70 (early-fire)</t>
  </si>
  <si>
    <t xml:space="preserve">Contenedor de baterías #1</t>
  </si>
  <si>
    <t xml:space="preserve">Celdas/racks — fuga térmica (thermal runaway)</t>
  </si>
  <si>
    <t xml:space="preserve">F-15</t>
  </si>
  <si>
    <t xml:space="preserve">Contenedor de baterías #2</t>
  </si>
  <si>
    <t xml:space="preserve">Celdas/racks — fuga térmica</t>
  </si>
  <si>
    <t xml:space="preserve">F-16</t>
  </si>
  <si>
    <t xml:space="preserve">Contenedor de baterías #3</t>
  </si>
  <si>
    <t xml:space="preserve">F-17</t>
  </si>
  <si>
    <t xml:space="preserve">Contenedor de baterías #4</t>
  </si>
  <si>
    <t xml:space="preserve">P-01</t>
  </si>
  <si>
    <t xml:space="preserve">Portátil</t>
  </si>
  <si>
    <t xml:space="preserve">FLIR E96 (640×480)</t>
  </si>
  <si>
    <t xml:space="preserve">Recorrido de sitio</t>
  </si>
  <si>
    <t xml:space="preserve">Inversores, combiner, cajas de string, MT</t>
  </si>
  <si>
    <t xml:space="preserve">Semestral</t>
  </si>
  <si>
    <t xml:space="preserve">P-02</t>
  </si>
  <si>
    <t xml:space="preserve">FLIR T560 (640×480)</t>
  </si>
  <si>
    <t xml:space="preserve">Tableros, CCM, motores aux., HRSG, trampas de vapor</t>
  </si>
  <si>
    <t xml:space="preserve">P-03</t>
  </si>
  <si>
    <t xml:space="preserve">Motores, tableros, CCM, conexiones</t>
  </si>
  <si>
    <t xml:space="preserve">P-04</t>
  </si>
  <si>
    <t xml:space="preserve">Quisqueya 2 (+ Q. Solar)</t>
  </si>
  <si>
    <t xml:space="preserve">Tableros, CCM, motores, combustible, intercambiadores</t>
  </si>
  <si>
    <t xml:space="preserve">P-05</t>
  </si>
  <si>
    <t xml:space="preserve">Motores diésel (rodamientos/escapes), tableros, CCM</t>
  </si>
  <si>
    <t xml:space="preserve">P-06</t>
  </si>
  <si>
    <t xml:space="preserve">Bandas de carbón, motores, precipitadores, tableros</t>
  </si>
  <si>
    <t xml:space="preserve">P-07</t>
  </si>
  <si>
    <t xml:space="preserve">Corredor eólico Larimar / Los Cocos</t>
  </si>
  <si>
    <t xml:space="preserve">Tableros base de torre, transformadores de turbina, convertidores</t>
  </si>
  <si>
    <t xml:space="preserve">P-08</t>
  </si>
  <si>
    <t xml:space="preserve">Motores, tablero principal, conexiones</t>
  </si>
  <si>
    <t xml:space="preserve">P-09</t>
  </si>
  <si>
    <t xml:space="preserve">Inversores, combiner, MT</t>
  </si>
  <si>
    <t xml:space="preserve">P-10</t>
  </si>
  <si>
    <t xml:space="preserve">Complejo Esperanza</t>
  </si>
  <si>
    <t xml:space="preserve">Inversores, combiner, subestación colectora, MT, eólico</t>
  </si>
  <si>
    <t xml:space="preserve">P-11</t>
  </si>
  <si>
    <t xml:space="preserve">Inversores, combiner, subestación</t>
  </si>
  <si>
    <t xml:space="preserve">CAMPAÑAS DE DRON TÉRMICO — AGRUPACIÓN POR CERCANÍA</t>
  </si>
  <si>
    <t xml:space="preserve">Campaña</t>
  </si>
  <si>
    <t xml:space="preserve">Provincia(s)</t>
  </si>
  <si>
    <t xml:space="preserve">Activos cubiertos</t>
  </si>
  <si>
    <t xml:space="preserve">Qué inspecciona el dron</t>
  </si>
  <si>
    <t xml:space="preserve">Dron asignado</t>
  </si>
  <si>
    <t xml:space="preserve">1. Corredor eólico Sur</t>
  </si>
  <si>
    <t xml:space="preserve">Barahona / Pedernales</t>
  </si>
  <si>
    <t xml:space="preserve">Larimar 1 y 2, Los Cocos 1 y 2 (incl. Juancho)</t>
  </si>
  <si>
    <t xml:space="preserve">Góndolas (gearbox, generador, rodamientos) y palas en altura</t>
  </si>
  <si>
    <t xml:space="preserve">Semestral / post-evento</t>
  </si>
  <si>
    <t xml:space="preserve">Dron 1</t>
  </si>
  <si>
    <t xml:space="preserve">2. Complejo Esperanza</t>
  </si>
  <si>
    <t xml:space="preserve">Esperanza Solar I y II + Parque Eólico Esperanza</t>
  </si>
  <si>
    <t xml:space="preserve">Módulos solares (hot spots, diodos, PID) + góndolas y palas</t>
  </si>
  <si>
    <t xml:space="preserve">Dron 2</t>
  </si>
  <si>
    <t xml:space="preserve">3. Solar Girasol</t>
  </si>
  <si>
    <t xml:space="preserve">Módulos: hot spots, diodos de bypass, PID, strings apagados</t>
  </si>
  <si>
    <t xml:space="preserve">Dron 3</t>
  </si>
  <si>
    <t xml:space="preserve">4. Solar Sajoma</t>
  </si>
  <si>
    <t xml:space="preserve">Módulos solares (hot spots, diodos, PID)</t>
  </si>
  <si>
    <t xml:space="preserve">Dron 4</t>
  </si>
  <si>
    <t xml:space="preserve">5. Solar Tornasol</t>
  </si>
  <si>
    <t xml:space="preserve">Dron 5</t>
  </si>
  <si>
    <t xml:space="preserve">Nota: Se asigna 1 dron dedicado por cada zona de campaña (5 drones en total). Esto permite inspección inmediata post-evento (tras tormenta o granizo) en cada sitio sin esperar el traslado de un equipo entre regiones distantes, y habilita personal local capacitado en cada central. Las campañas son semestrales, por lo que también existe la opción de operar con menos drones itinerantes si se prioriza el costo sobre la disponibilidad inmediata en sitio.</t>
  </si>
  <si>
    <t xml:space="preserve">CRITERIOS DE DIMENSIONAMIENTO Y NOTAS IMPORTANTES</t>
  </si>
  <si>
    <t xml:space="preserve">Cámara FIJA — cuándo se justifica</t>
  </si>
  <si>
    <t xml:space="preserve">Solo donde la falla es rápida, grave y no vigilable a mano: transformadores de potencia grandes, barras críticas, carcasas de turbina y, sobre todo, el BESS (riesgo de fuga térmica / incendio). Se integran al sistema de monitoreo continuo.</t>
  </si>
  <si>
    <t xml:space="preserve">Cámara PORTÁTIL — criterio</t>
  </si>
  <si>
    <t xml:space="preserve">Una sola unidad por central o zona cubre toda la ronda de inspección (tableros, CCM, motores, conexiones). No se necesita una por tablero; se cuentan unidades físicas asignadas, no puntos inspeccionados.</t>
  </si>
  <si>
    <t xml:space="preserve">DRON — criterio</t>
  </si>
  <si>
    <t xml:space="preserve">Solo donde hay extensión de paneles o aerogeneradores dispersos/en altura. Se opera por campañas agrupando activos cercanos en un solo desplazamiento.</t>
  </si>
  <si>
    <t xml:space="preserve">La cámara NO es la mejor herramienta para rodamientos. El análisis de vibración y los sensores RTD embebidos detectan el problema antes. La portátil sirve como chequeo rápido en ronda, no como monitoreo constante.</t>
  </si>
  <si>
    <t xml:space="preserve">Cantidad tomada</t>
  </si>
  <si>
    <t xml:space="preserve">Este plan usa la cantidad MÁXIMA de cada rango estimado. Totales: 17 fijas, 11 portátiles, cobertura de dron para 6 localidades.</t>
  </si>
  <si>
    <t xml:space="preserve">Salvedad sobre las cifras</t>
  </si>
  <si>
    <t xml:space="preserve">Las cámaras fijas son estimaciones basadas en configuraciones típicas de plantas de ese tamaño y tecnología. El número exacto depende de cuántos transformadores de potencia tenga físicamente cada central y qué instrumentación térmica ya venga de fábrica.</t>
  </si>
  <si>
    <t xml:space="preserve">Condición de inspección eléctrica</t>
  </si>
  <si>
    <t xml:space="preserve">Toda inspección de conexiones y tableros debe hacerse con el equipo ENERGIZADO y bajo carga real (idealmente &gt;40% de la carga nominal) para que las anomalías sean visibles.</t>
  </si>
  <si>
    <t xml:space="preserve">Localidades que NO requieren dron</t>
  </si>
  <si>
    <t xml:space="preserve">Térmicas puras: Haina, SIBA, Quisqueya 2, Sultana del Este, Barahona Carbón (planta) y Pedernales (planta). Se cubren con portátil + fijas.</t>
  </si>
  <si>
    <t xml:space="preserve">Localidades que SÍ requieren dron</t>
  </si>
  <si>
    <t xml:space="preserve">San Cristóbal (Girasol), Barahona (Larimar + Los Cocos), Pedernales (Los Cocos-Juancho + Sajoma), Valverde (todo Esperanza) y Peravia (Tornasol).</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</si>
</sst>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04040"/>
      <name val="Arial"/>
      <family val="0"/>
      <charset val="1"/>
    </font>
    <font>
      <b val="true"/>
      <sz val="12"/>
      <color rgb="FF1F3864"/>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4"/>
      <color rgb="FFFFFFFF"/>
      <name val="Arial"/>
      <family val="0"/>
      <charset val="1"/>
    </font>
    <font>
      <b val="true"/>
      <sz val="9"/>
      <color rgb="FF000000"/>
      <name val="Arial"/>
      <family val="0"/>
      <charset val="1"/>
    </font>
    <font>
      <sz val="9"/>
      <color rgb="FF000000"/>
      <name val="Arial"/>
      <family val="0"/>
      <charset val="1"/>
    </font>
    <font>
      <b val="true"/>
      <sz val="11"/>
      <color rgb="FF1F3864"/>
      <name val="Arial"/>
      <family val="0"/>
      <charset val="1"/>
    </font>
    <font>
      <b val="true"/>
      <sz val="9"/>
      <color rgb="FF375623"/>
      <name val="Arial"/>
      <family val="0"/>
      <charset val="1"/>
    </font>
    <font>
      <i val="true"/>
      <sz val="9"/>
      <color rgb="FF595959"/>
      <name val="Arial"/>
      <family val="0"/>
      <charset val="1"/>
    </font>
  </fonts>
  <fills count="16">
    <fill>
      <patternFill patternType="none"/>
    </fill>
    <fill>
      <patternFill patternType="gray125"/>
    </fill>
    <fill>
      <patternFill patternType="solid">
        <fgColor rgb="FF1F3864"/>
        <bgColor rgb="FF404040"/>
      </patternFill>
    </fill>
    <fill>
      <patternFill patternType="solid">
        <fgColor rgb="FFD9E1F2"/>
        <bgColor rgb="FFE4DFEC"/>
      </patternFill>
    </fill>
    <fill>
      <patternFill patternType="solid">
        <fgColor rgb="FF2E5496"/>
        <bgColor rgb="FF1F3864"/>
      </patternFill>
    </fill>
    <fill>
      <patternFill patternType="solid">
        <fgColor rgb="FFC6E0B4"/>
        <bgColor rgb="FFBDD7EE"/>
      </patternFill>
    </fill>
    <fill>
      <patternFill patternType="solid">
        <fgColor rgb="FFEAF0FB"/>
        <bgColor rgb="FFF2F2F2"/>
      </patternFill>
    </fill>
    <fill>
      <patternFill patternType="solid">
        <fgColor rgb="FFFFFFFF"/>
        <bgColor rgb="FFF2F2F2"/>
      </patternFill>
    </fill>
    <fill>
      <patternFill patternType="solid">
        <fgColor rgb="FFFFE699"/>
        <bgColor rgb="FFFFF2CC"/>
      </patternFill>
    </fill>
    <fill>
      <patternFill patternType="solid">
        <fgColor rgb="FFDDEBF7"/>
        <bgColor rgb="FFD9E1F2"/>
      </patternFill>
    </fill>
    <fill>
      <patternFill patternType="solid">
        <fgColor rgb="FFE2EFDA"/>
        <bgColor rgb="FFDDEBF7"/>
      </patternFill>
    </fill>
    <fill>
      <patternFill patternType="solid">
        <fgColor rgb="FFFCE4D6"/>
        <bgColor rgb="FFFFF2CC"/>
      </patternFill>
    </fill>
    <fill>
      <patternFill patternType="solid">
        <fgColor rgb="FFF2F2F2"/>
        <bgColor rgb="FFEAF0FB"/>
      </patternFill>
    </fill>
    <fill>
      <patternFill patternType="solid">
        <fgColor rgb="FFFFF2CC"/>
        <bgColor rgb="FFFCE4D6"/>
      </patternFill>
    </fill>
    <fill>
      <patternFill patternType="solid">
        <fgColor rgb="FFE4DFEC"/>
        <bgColor rgb="FFD9E1F2"/>
      </patternFill>
    </fill>
    <fill>
      <patternFill patternType="solid">
        <fgColor rgb="FFBDD7EE"/>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2" fillId="11" borderId="1" xfId="0" applyFont="true" applyBorder="true" applyAlignment="true" applyProtection="false">
      <alignment horizontal="left"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2" fillId="13" borderId="1"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AF0FB"/>
      <rgbColor rgb="FFE2EFDA"/>
      <rgbColor rgb="FFFFE699"/>
      <rgbColor rgb="FFC6E0B4"/>
      <rgbColor rgb="FFD9E1F2"/>
      <rgbColor rgb="FFE4DFEC"/>
      <rgbColor rgb="FFFCE4D6"/>
      <rgbColor rgb="FF3366FF"/>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60"/>
    <col collapsed="false" customWidth="true" hidden="false" outlineLevel="0" max="5" min="4" style="1" width="2"/>
  </cols>
  <sheetData>
    <row r="1" customFormat="false" ht="30" hidden="false" customHeight="true" outlineLevel="0" collapsed="false">
      <c r="A1" s="2" t="s">
        <v>0</v>
      </c>
      <c r="B1" s="2"/>
      <c r="C1" s="2"/>
      <c r="D1" s="2"/>
      <c r="E1" s="2"/>
    </row>
    <row r="2" customFormat="false" ht="21.75" hidden="false" customHeight="true" outlineLevel="0" collapsed="false">
      <c r="A2" s="3" t="s">
        <v>1</v>
      </c>
      <c r="B2" s="3"/>
      <c r="C2" s="3"/>
      <c r="D2" s="3"/>
      <c r="E2" s="3"/>
    </row>
    <row r="4" customFormat="false" ht="15" hidden="false" customHeight="true" outlineLevel="0" collapsed="false">
      <c r="A4" s="4" t="s">
        <v>2</v>
      </c>
    </row>
    <row r="5" customFormat="false" ht="15" hidden="false" customHeight="true" outlineLevel="0" collapsed="false">
      <c r="A5" s="5" t="s">
        <v>3</v>
      </c>
      <c r="B5" s="5" t="s">
        <v>4</v>
      </c>
      <c r="C5" s="5" t="s">
        <v>5</v>
      </c>
    </row>
    <row r="6" customFormat="false" ht="15" hidden="false" customHeight="true" outlineLevel="0" collapsed="false">
      <c r="A6" s="6" t="s">
        <v>6</v>
      </c>
      <c r="B6" s="7" t="n">
        <v>17</v>
      </c>
      <c r="C6" s="8" t="s">
        <v>7</v>
      </c>
    </row>
    <row r="7" customFormat="false" ht="15" hidden="false" customHeight="true" outlineLevel="0" collapsed="false">
      <c r="A7" s="6" t="s">
        <v>8</v>
      </c>
      <c r="B7" s="9" t="n">
        <v>11</v>
      </c>
      <c r="C7" s="10" t="s">
        <v>9</v>
      </c>
    </row>
    <row r="8" customFormat="false" ht="23.25" hidden="false" customHeight="true" outlineLevel="0" collapsed="false">
      <c r="A8" s="6" t="s">
        <v>10</v>
      </c>
      <c r="B8" s="7" t="s">
        <v>11</v>
      </c>
      <c r="C8" s="8" t="s">
        <v>12</v>
      </c>
    </row>
    <row r="11" customFormat="false" ht="15" hidden="false" customHeight="true" outlineLevel="0" collapsed="false">
      <c r="A11" s="4" t="s">
        <v>13</v>
      </c>
    </row>
    <row r="12" customFormat="false" ht="15" hidden="false" customHeight="true" outlineLevel="0" collapsed="false">
      <c r="A12" s="5" t="s">
        <v>14</v>
      </c>
      <c r="B12" s="5" t="s">
        <v>15</v>
      </c>
      <c r="C12" s="5" t="s">
        <v>16</v>
      </c>
    </row>
    <row r="13" customFormat="false" ht="15" hidden="false" customHeight="true" outlineLevel="0" collapsed="false">
      <c r="A13" s="8" t="s">
        <v>17</v>
      </c>
      <c r="B13" s="7" t="n">
        <v>3</v>
      </c>
      <c r="C13" s="8" t="s">
        <v>18</v>
      </c>
    </row>
    <row r="14" customFormat="false" ht="15" hidden="false" customHeight="true" outlineLevel="0" collapsed="false">
      <c r="A14" s="10" t="s">
        <v>19</v>
      </c>
      <c r="B14" s="9" t="n">
        <v>3</v>
      </c>
      <c r="C14" s="10" t="s">
        <v>20</v>
      </c>
    </row>
    <row r="15" customFormat="false" ht="15" hidden="false" customHeight="true" outlineLevel="0" collapsed="false">
      <c r="A15" s="8" t="s">
        <v>21</v>
      </c>
      <c r="B15" s="7" t="n">
        <v>2</v>
      </c>
      <c r="C15" s="8" t="s">
        <v>22</v>
      </c>
    </row>
    <row r="16" customFormat="false" ht="15" hidden="false" customHeight="true" outlineLevel="0" collapsed="false">
      <c r="A16" s="10" t="s">
        <v>23</v>
      </c>
      <c r="B16" s="9" t="n">
        <v>2</v>
      </c>
      <c r="C16" s="10" t="s">
        <v>24</v>
      </c>
    </row>
    <row r="17" customFormat="false" ht="15" hidden="false" customHeight="true" outlineLevel="0" collapsed="false">
      <c r="A17" s="8" t="s">
        <v>25</v>
      </c>
      <c r="B17" s="7" t="n">
        <v>2</v>
      </c>
      <c r="C17" s="8" t="s">
        <v>26</v>
      </c>
    </row>
    <row r="18" customFormat="false" ht="15" hidden="false" customHeight="true" outlineLevel="0" collapsed="false">
      <c r="A18" s="10" t="s">
        <v>27</v>
      </c>
      <c r="B18" s="9" t="n">
        <v>1</v>
      </c>
      <c r="C18" s="10" t="s">
        <v>28</v>
      </c>
    </row>
    <row r="19" customFormat="false" ht="15" hidden="false" customHeight="true" outlineLevel="0" collapsed="false">
      <c r="A19" s="8" t="s">
        <v>29</v>
      </c>
      <c r="B19" s="7" t="n">
        <v>4</v>
      </c>
      <c r="C19" s="8" t="s">
        <v>30</v>
      </c>
    </row>
    <row r="20" customFormat="false" ht="15" hidden="false" customHeight="true" outlineLevel="0" collapsed="false">
      <c r="A20" s="11" t="s">
        <v>31</v>
      </c>
      <c r="B20" s="12" t="n">
        <v>17</v>
      </c>
      <c r="C20" s="11"/>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16"/>
    <col collapsed="false" customWidth="true" hidden="false" outlineLevel="0" max="4" min="4" style="1" width="14"/>
    <col collapsed="false" customWidth="true" hidden="false" outlineLevel="0" max="5" min="5" style="1" width="11"/>
    <col collapsed="false" customWidth="true" hidden="false" outlineLevel="0" max="6" min="6" style="1" width="9"/>
    <col collapsed="false" customWidth="true" hidden="false" outlineLevel="0" max="7" min="7" style="1" width="34"/>
    <col collapsed="false" customWidth="true" hidden="false" outlineLevel="0" max="8" min="8" style="1" width="50"/>
  </cols>
  <sheetData>
    <row r="1" customFormat="false" ht="25.5" hidden="false" customHeight="true" outlineLevel="0" collapsed="false">
      <c r="A1" s="13" t="s">
        <v>32</v>
      </c>
      <c r="B1" s="13"/>
      <c r="C1" s="13"/>
      <c r="D1" s="13"/>
      <c r="E1" s="13"/>
      <c r="F1" s="13"/>
      <c r="G1" s="13"/>
      <c r="H1" s="13"/>
    </row>
    <row r="2" customFormat="false" ht="19.5" hidden="false" customHeight="true" outlineLevel="0" collapsed="false">
      <c r="A2" s="3" t="s">
        <v>33</v>
      </c>
      <c r="B2" s="3"/>
      <c r="C2" s="3"/>
      <c r="D2" s="3"/>
      <c r="E2" s="3"/>
      <c r="F2" s="3"/>
      <c r="G2" s="3"/>
      <c r="H2" s="3"/>
    </row>
    <row r="3" customFormat="false" ht="37.5" hidden="false" customHeight="true" outlineLevel="0" collapsed="false">
      <c r="A3" s="5" t="s">
        <v>3</v>
      </c>
      <c r="B3" s="5" t="s">
        <v>34</v>
      </c>
      <c r="C3" s="5" t="s">
        <v>35</v>
      </c>
      <c r="D3" s="5" t="s">
        <v>36</v>
      </c>
      <c r="E3" s="5" t="s">
        <v>37</v>
      </c>
      <c r="F3" s="5" t="s">
        <v>4</v>
      </c>
      <c r="G3" s="5" t="s">
        <v>38</v>
      </c>
      <c r="H3" s="5" t="s">
        <v>39</v>
      </c>
    </row>
    <row r="4" customFormat="false" ht="72" hidden="false" customHeight="true" outlineLevel="0" collapsed="false">
      <c r="A4" s="14" t="s">
        <v>40</v>
      </c>
      <c r="B4" s="15" t="s">
        <v>41</v>
      </c>
      <c r="C4" s="16" t="s">
        <v>42</v>
      </c>
      <c r="D4" s="16" t="s">
        <v>43</v>
      </c>
      <c r="E4" s="16" t="s">
        <v>44</v>
      </c>
      <c r="F4" s="17" t="n">
        <v>6</v>
      </c>
      <c r="G4" s="15" t="s">
        <v>45</v>
      </c>
      <c r="H4" s="15" t="s">
        <v>46</v>
      </c>
    </row>
    <row r="5" customFormat="false" ht="72" hidden="false" customHeight="true" outlineLevel="0" collapsed="false">
      <c r="A5" s="14" t="s">
        <v>40</v>
      </c>
      <c r="B5" s="15" t="s">
        <v>47</v>
      </c>
      <c r="C5" s="16" t="s">
        <v>48</v>
      </c>
      <c r="D5" s="16" t="s">
        <v>43</v>
      </c>
      <c r="E5" s="16" t="s">
        <v>44</v>
      </c>
      <c r="F5" s="17" t="n">
        <v>7</v>
      </c>
      <c r="G5" s="15" t="s">
        <v>49</v>
      </c>
      <c r="H5" s="15" t="s">
        <v>50</v>
      </c>
    </row>
    <row r="6" customFormat="false" ht="72" hidden="false" customHeight="true" outlineLevel="0" collapsed="false">
      <c r="A6" s="14" t="s">
        <v>40</v>
      </c>
      <c r="B6" s="15" t="s">
        <v>51</v>
      </c>
      <c r="C6" s="16" t="s">
        <v>42</v>
      </c>
      <c r="D6" s="16" t="s">
        <v>43</v>
      </c>
      <c r="E6" s="16" t="s">
        <v>44</v>
      </c>
      <c r="F6" s="17" t="n">
        <v>4</v>
      </c>
      <c r="G6" s="15" t="s">
        <v>52</v>
      </c>
      <c r="H6" s="15" t="s">
        <v>53</v>
      </c>
    </row>
    <row r="7" customFormat="false" ht="72" hidden="false" customHeight="true" outlineLevel="0" collapsed="false">
      <c r="A7" s="18" t="s">
        <v>54</v>
      </c>
      <c r="B7" s="19" t="s">
        <v>55</v>
      </c>
      <c r="C7" s="20" t="s">
        <v>42</v>
      </c>
      <c r="D7" s="20" t="s">
        <v>56</v>
      </c>
      <c r="E7" s="20" t="s">
        <v>44</v>
      </c>
      <c r="F7" s="21" t="n">
        <v>5</v>
      </c>
      <c r="G7" s="19" t="s">
        <v>57</v>
      </c>
      <c r="H7" s="19" t="s">
        <v>58</v>
      </c>
    </row>
    <row r="8" customFormat="false" ht="72" hidden="false" customHeight="true" outlineLevel="0" collapsed="false">
      <c r="A8" s="18" t="s">
        <v>54</v>
      </c>
      <c r="B8" s="19" t="s">
        <v>59</v>
      </c>
      <c r="C8" s="20" t="s">
        <v>42</v>
      </c>
      <c r="D8" s="20" t="s">
        <v>43</v>
      </c>
      <c r="E8" s="20" t="s">
        <v>44</v>
      </c>
      <c r="F8" s="21" t="n">
        <v>6</v>
      </c>
      <c r="G8" s="19" t="s">
        <v>60</v>
      </c>
      <c r="H8" s="19" t="s">
        <v>61</v>
      </c>
    </row>
    <row r="9" customFormat="false" ht="72" hidden="false" customHeight="true" outlineLevel="0" collapsed="false">
      <c r="A9" s="22" t="s">
        <v>62</v>
      </c>
      <c r="B9" s="23" t="s">
        <v>63</v>
      </c>
      <c r="C9" s="24" t="s">
        <v>64</v>
      </c>
      <c r="D9" s="24" t="s">
        <v>65</v>
      </c>
      <c r="E9" s="24" t="s">
        <v>44</v>
      </c>
      <c r="F9" s="25" t="n">
        <v>5</v>
      </c>
      <c r="G9" s="23" t="s">
        <v>66</v>
      </c>
      <c r="H9" s="23" t="s">
        <v>67</v>
      </c>
    </row>
    <row r="10" customFormat="false" ht="21.75" hidden="false" customHeight="true" outlineLevel="0" collapsed="false">
      <c r="A10" s="11" t="s">
        <v>68</v>
      </c>
      <c r="B10" s="11"/>
      <c r="C10" s="11"/>
      <c r="D10" s="11"/>
      <c r="E10" s="11"/>
      <c r="F10" s="12" t="n">
        <f aca="false">SUM(F4:F9)</f>
        <v>33</v>
      </c>
      <c r="G10" s="11" t="s">
        <v>69</v>
      </c>
      <c r="H10" s="11"/>
    </row>
    <row r="12" customFormat="false" ht="15" hidden="false" customHeight="true" outlineLevel="0" collapsed="false">
      <c r="A12" s="26" t="s">
        <v>70</v>
      </c>
      <c r="B12" s="26"/>
      <c r="C12" s="26"/>
      <c r="D12" s="26"/>
      <c r="E12" s="26"/>
      <c r="F12" s="26"/>
      <c r="G12" s="26"/>
      <c r="H12" s="26"/>
    </row>
    <row r="13" customFormat="false" ht="42" hidden="false" customHeight="true" outlineLevel="0" collapsed="false">
      <c r="A13" s="27" t="s">
        <v>71</v>
      </c>
      <c r="B13" s="27"/>
      <c r="C13" s="28" t="s">
        <v>72</v>
      </c>
      <c r="D13" s="28"/>
      <c r="E13" s="28"/>
      <c r="F13" s="28"/>
      <c r="G13" s="28"/>
      <c r="H13" s="28"/>
    </row>
    <row r="14" customFormat="false" ht="42" hidden="false" customHeight="true" outlineLevel="0" collapsed="false">
      <c r="A14" s="27" t="s">
        <v>73</v>
      </c>
      <c r="B14" s="27"/>
      <c r="C14" s="28" t="s">
        <v>74</v>
      </c>
      <c r="D14" s="28"/>
      <c r="E14" s="28"/>
      <c r="F14" s="28"/>
      <c r="G14" s="28"/>
      <c r="H14" s="28"/>
    </row>
    <row r="15" customFormat="false" ht="42" hidden="false" customHeight="true" outlineLevel="0" collapsed="false">
      <c r="A15" s="27" t="s">
        <v>75</v>
      </c>
      <c r="B15" s="27"/>
      <c r="C15" s="28" t="s">
        <v>76</v>
      </c>
      <c r="D15" s="28"/>
      <c r="E15" s="28"/>
      <c r="F15" s="28"/>
      <c r="G15" s="28"/>
      <c r="H15" s="28"/>
    </row>
    <row r="16" customFormat="false" ht="42" hidden="false" customHeight="true" outlineLevel="0" collapsed="false">
      <c r="A16" s="27" t="s">
        <v>77</v>
      </c>
      <c r="B16" s="27"/>
      <c r="C16" s="28" t="s">
        <v>78</v>
      </c>
      <c r="D16" s="28"/>
      <c r="E16" s="28"/>
      <c r="F16" s="28"/>
      <c r="G16" s="28"/>
      <c r="H16" s="28"/>
    </row>
    <row r="17" customFormat="false" ht="42" hidden="false" customHeight="true" outlineLevel="0" collapsed="false">
      <c r="A17" s="27" t="s">
        <v>79</v>
      </c>
      <c r="B17" s="27"/>
      <c r="C17" s="28" t="s">
        <v>80</v>
      </c>
      <c r="D17" s="28"/>
      <c r="E17" s="28"/>
      <c r="F17" s="28"/>
      <c r="G17" s="28"/>
      <c r="H17" s="28"/>
    </row>
    <row r="18" customFormat="false" ht="42" hidden="false" customHeight="true" outlineLevel="0" collapsed="false">
      <c r="A18" s="27" t="s">
        <v>81</v>
      </c>
      <c r="B18" s="27"/>
      <c r="C18" s="28" t="s">
        <v>82</v>
      </c>
      <c r="D18" s="28"/>
      <c r="E18" s="28"/>
      <c r="F18" s="28"/>
      <c r="G18" s="28"/>
      <c r="H18" s="28"/>
    </row>
  </sheetData>
  <mergeCells count="15">
    <mergeCell ref="A1:H1"/>
    <mergeCell ref="A2:H2"/>
    <mergeCell ref="A12:H12"/>
    <mergeCell ref="A13:B13"/>
    <mergeCell ref="C13:H13"/>
    <mergeCell ref="A14:B14"/>
    <mergeCell ref="C14:H14"/>
    <mergeCell ref="A15:B15"/>
    <mergeCell ref="C15:H15"/>
    <mergeCell ref="A16:B16"/>
    <mergeCell ref="C16:H16"/>
    <mergeCell ref="A17:B17"/>
    <mergeCell ref="C17:H17"/>
    <mergeCell ref="A18:B18"/>
    <mergeCell ref="C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3" min="3" style="1" width="26"/>
    <col collapsed="false" customWidth="true" hidden="false" outlineLevel="0" max="4" min="4" style="1" width="10"/>
    <col collapsed="false" customWidth="true" hidden="false" outlineLevel="0" max="5" min="5" style="1" width="12"/>
    <col collapsed="false" customWidth="true" hidden="false" outlineLevel="0" max="6" min="6" style="1" width="8"/>
    <col collapsed="false" customWidth="true" hidden="false" outlineLevel="0" max="7" min="7" style="1" width="55"/>
    <col collapsed="false" customWidth="true" hidden="false" outlineLevel="0" max="8" min="8" style="1" width="30"/>
  </cols>
  <sheetData>
    <row r="1" customFormat="false" ht="25.5" hidden="false" customHeight="true" outlineLevel="0" collapsed="false">
      <c r="A1" s="13" t="s">
        <v>83</v>
      </c>
      <c r="B1" s="13"/>
      <c r="C1" s="13"/>
      <c r="D1" s="13"/>
      <c r="E1" s="13"/>
      <c r="F1" s="13"/>
      <c r="G1" s="13"/>
      <c r="H1" s="13"/>
    </row>
    <row r="2" customFormat="false" ht="39.75" hidden="false" customHeight="true" outlineLevel="0" collapsed="false">
      <c r="A2" s="29" t="s">
        <v>84</v>
      </c>
      <c r="B2" s="29" t="s">
        <v>85</v>
      </c>
      <c r="C2" s="29" t="s">
        <v>86</v>
      </c>
      <c r="D2" s="29" t="s">
        <v>87</v>
      </c>
      <c r="E2" s="29" t="s">
        <v>88</v>
      </c>
      <c r="F2" s="29" t="s">
        <v>89</v>
      </c>
      <c r="G2" s="29" t="s">
        <v>90</v>
      </c>
      <c r="H2" s="29" t="s">
        <v>91</v>
      </c>
    </row>
    <row r="3" customFormat="false" ht="57.75" hidden="false" customHeight="true" outlineLevel="0" collapsed="false">
      <c r="A3" s="19" t="s">
        <v>92</v>
      </c>
      <c r="B3" s="19" t="s">
        <v>93</v>
      </c>
      <c r="C3" s="19" t="s">
        <v>94</v>
      </c>
      <c r="D3" s="21" t="n">
        <v>0</v>
      </c>
      <c r="E3" s="21" t="n">
        <v>1</v>
      </c>
      <c r="F3" s="30" t="s">
        <v>44</v>
      </c>
      <c r="G3" s="19" t="s">
        <v>95</v>
      </c>
      <c r="H3" s="19" t="s">
        <v>96</v>
      </c>
    </row>
    <row r="4" customFormat="false" ht="57.75" hidden="false" customHeight="true" outlineLevel="0" collapsed="false">
      <c r="A4" s="19" t="s">
        <v>92</v>
      </c>
      <c r="B4" s="19" t="s">
        <v>17</v>
      </c>
      <c r="C4" s="19" t="s">
        <v>97</v>
      </c>
      <c r="D4" s="21" t="n">
        <v>3</v>
      </c>
      <c r="E4" s="21" t="n">
        <v>1</v>
      </c>
      <c r="F4" s="31" t="s">
        <v>98</v>
      </c>
      <c r="G4" s="19" t="s">
        <v>99</v>
      </c>
      <c r="H4" s="19" t="s">
        <v>100</v>
      </c>
    </row>
    <row r="5" customFormat="false" ht="57.75" hidden="false" customHeight="true" outlineLevel="0" collapsed="false">
      <c r="A5" s="19" t="s">
        <v>92</v>
      </c>
      <c r="B5" s="19" t="s">
        <v>21</v>
      </c>
      <c r="C5" s="19" t="s">
        <v>101</v>
      </c>
      <c r="D5" s="21" t="n">
        <v>2</v>
      </c>
      <c r="E5" s="21" t="n">
        <v>1</v>
      </c>
      <c r="F5" s="31" t="s">
        <v>98</v>
      </c>
      <c r="G5" s="19" t="s">
        <v>102</v>
      </c>
      <c r="H5" s="19"/>
    </row>
    <row r="6" customFormat="false" ht="57.75" hidden="false" customHeight="true" outlineLevel="0" collapsed="false">
      <c r="A6" s="15" t="s">
        <v>103</v>
      </c>
      <c r="B6" s="15" t="s">
        <v>19</v>
      </c>
      <c r="C6" s="15" t="s">
        <v>104</v>
      </c>
      <c r="D6" s="17" t="n">
        <v>3</v>
      </c>
      <c r="E6" s="17" t="n">
        <v>1</v>
      </c>
      <c r="F6" s="31" t="s">
        <v>98</v>
      </c>
      <c r="G6" s="15" t="s">
        <v>105</v>
      </c>
      <c r="H6" s="15" t="s">
        <v>106</v>
      </c>
    </row>
    <row r="7" customFormat="false" ht="57.75" hidden="false" customHeight="true" outlineLevel="0" collapsed="false">
      <c r="A7" s="15" t="s">
        <v>103</v>
      </c>
      <c r="B7" s="15" t="s">
        <v>107</v>
      </c>
      <c r="C7" s="15" t="s">
        <v>108</v>
      </c>
      <c r="D7" s="17" t="n">
        <v>0</v>
      </c>
      <c r="E7" s="17" t="n">
        <v>0</v>
      </c>
      <c r="F7" s="31" t="s">
        <v>98</v>
      </c>
      <c r="G7" s="15" t="s">
        <v>109</v>
      </c>
      <c r="H7" s="15" t="s">
        <v>110</v>
      </c>
    </row>
    <row r="8" customFormat="false" ht="57.75" hidden="false" customHeight="true" outlineLevel="0" collapsed="false">
      <c r="A8" s="15" t="s">
        <v>103</v>
      </c>
      <c r="B8" s="15" t="s">
        <v>23</v>
      </c>
      <c r="C8" s="15" t="s">
        <v>111</v>
      </c>
      <c r="D8" s="17" t="n">
        <v>2</v>
      </c>
      <c r="E8" s="17" t="n">
        <v>1</v>
      </c>
      <c r="F8" s="31" t="s">
        <v>98</v>
      </c>
      <c r="G8" s="15" t="s">
        <v>112</v>
      </c>
      <c r="H8" s="15" t="s">
        <v>113</v>
      </c>
    </row>
    <row r="9" customFormat="false" ht="57.75" hidden="false" customHeight="true" outlineLevel="0" collapsed="false">
      <c r="A9" s="23" t="s">
        <v>114</v>
      </c>
      <c r="B9" s="23" t="s">
        <v>115</v>
      </c>
      <c r="C9" s="23" t="s">
        <v>116</v>
      </c>
      <c r="D9" s="25" t="n">
        <v>2</v>
      </c>
      <c r="E9" s="25" t="n">
        <v>1</v>
      </c>
      <c r="F9" s="31" t="s">
        <v>98</v>
      </c>
      <c r="G9" s="23" t="s">
        <v>117</v>
      </c>
      <c r="H9" s="23"/>
    </row>
    <row r="10" customFormat="false" ht="57.75" hidden="false" customHeight="true" outlineLevel="0" collapsed="false">
      <c r="A10" s="23" t="s">
        <v>114</v>
      </c>
      <c r="B10" s="23" t="s">
        <v>118</v>
      </c>
      <c r="C10" s="23" t="s">
        <v>119</v>
      </c>
      <c r="D10" s="25" t="n">
        <v>0</v>
      </c>
      <c r="E10" s="25" t="n">
        <v>1</v>
      </c>
      <c r="F10" s="30" t="s">
        <v>44</v>
      </c>
      <c r="G10" s="23" t="s">
        <v>120</v>
      </c>
      <c r="H10" s="23" t="s">
        <v>121</v>
      </c>
    </row>
    <row r="11" customFormat="false" ht="57.75" hidden="false" customHeight="true" outlineLevel="0" collapsed="false">
      <c r="A11" s="23" t="s">
        <v>114</v>
      </c>
      <c r="B11" s="23" t="s">
        <v>122</v>
      </c>
      <c r="C11" s="23" t="s">
        <v>123</v>
      </c>
      <c r="D11" s="25" t="n">
        <v>0</v>
      </c>
      <c r="E11" s="25" t="n">
        <v>0</v>
      </c>
      <c r="F11" s="30" t="s">
        <v>44</v>
      </c>
      <c r="G11" s="23" t="s">
        <v>124</v>
      </c>
      <c r="H11" s="23" t="s">
        <v>125</v>
      </c>
    </row>
    <row r="12" customFormat="false" ht="57.75" hidden="false" customHeight="true" outlineLevel="0" collapsed="false">
      <c r="A12" s="32" t="s">
        <v>126</v>
      </c>
      <c r="B12" s="32" t="s">
        <v>27</v>
      </c>
      <c r="C12" s="32" t="s">
        <v>127</v>
      </c>
      <c r="D12" s="33" t="n">
        <v>1</v>
      </c>
      <c r="E12" s="33" t="n">
        <v>1</v>
      </c>
      <c r="F12" s="31" t="s">
        <v>98</v>
      </c>
      <c r="G12" s="32" t="s">
        <v>128</v>
      </c>
      <c r="H12" s="32" t="s">
        <v>129</v>
      </c>
    </row>
    <row r="13" customFormat="false" ht="57.75" hidden="false" customHeight="true" outlineLevel="0" collapsed="false">
      <c r="A13" s="32" t="s">
        <v>126</v>
      </c>
      <c r="B13" s="32" t="s">
        <v>130</v>
      </c>
      <c r="C13" s="32" t="s">
        <v>131</v>
      </c>
      <c r="D13" s="33" t="n">
        <v>0</v>
      </c>
      <c r="E13" s="33" t="n">
        <v>0</v>
      </c>
      <c r="F13" s="30" t="s">
        <v>44</v>
      </c>
      <c r="G13" s="32" t="s">
        <v>132</v>
      </c>
      <c r="H13" s="32" t="s">
        <v>133</v>
      </c>
    </row>
    <row r="14" customFormat="false" ht="57.75" hidden="false" customHeight="true" outlineLevel="0" collapsed="false">
      <c r="A14" s="32" t="s">
        <v>126</v>
      </c>
      <c r="B14" s="32" t="s">
        <v>134</v>
      </c>
      <c r="C14" s="32" t="s">
        <v>135</v>
      </c>
      <c r="D14" s="33" t="n">
        <v>0</v>
      </c>
      <c r="E14" s="33" t="n">
        <v>1</v>
      </c>
      <c r="F14" s="30" t="s">
        <v>44</v>
      </c>
      <c r="G14" s="32" t="s">
        <v>136</v>
      </c>
      <c r="H14" s="32" t="s">
        <v>137</v>
      </c>
    </row>
    <row r="15" customFormat="false" ht="57.75" hidden="false" customHeight="true" outlineLevel="0" collapsed="false">
      <c r="A15" s="34" t="s">
        <v>138</v>
      </c>
      <c r="B15" s="34" t="s">
        <v>139</v>
      </c>
      <c r="C15" s="34" t="s">
        <v>140</v>
      </c>
      <c r="D15" s="35" t="n">
        <v>0</v>
      </c>
      <c r="E15" s="35" t="n">
        <v>1</v>
      </c>
      <c r="F15" s="30" t="s">
        <v>44</v>
      </c>
      <c r="G15" s="34" t="s">
        <v>141</v>
      </c>
      <c r="H15" s="34" t="s">
        <v>142</v>
      </c>
    </row>
    <row r="16" customFormat="false" ht="57.75" hidden="false" customHeight="true" outlineLevel="0" collapsed="false">
      <c r="A16" s="34" t="s">
        <v>138</v>
      </c>
      <c r="B16" s="34" t="s">
        <v>143</v>
      </c>
      <c r="C16" s="34" t="s">
        <v>144</v>
      </c>
      <c r="D16" s="35" t="n">
        <v>0</v>
      </c>
      <c r="E16" s="35" t="n">
        <v>0</v>
      </c>
      <c r="F16" s="30" t="s">
        <v>44</v>
      </c>
      <c r="G16" s="34" t="s">
        <v>145</v>
      </c>
      <c r="H16" s="34"/>
    </row>
    <row r="17" customFormat="false" ht="57.75" hidden="false" customHeight="true" outlineLevel="0" collapsed="false">
      <c r="A17" s="34" t="s">
        <v>138</v>
      </c>
      <c r="B17" s="34" t="s">
        <v>146</v>
      </c>
      <c r="C17" s="34" t="s">
        <v>147</v>
      </c>
      <c r="D17" s="35" t="n">
        <v>0</v>
      </c>
      <c r="E17" s="35" t="n">
        <v>0</v>
      </c>
      <c r="F17" s="30" t="s">
        <v>44</v>
      </c>
      <c r="G17" s="34" t="s">
        <v>148</v>
      </c>
      <c r="H17" s="34" t="s">
        <v>149</v>
      </c>
    </row>
    <row r="18" customFormat="false" ht="57.75" hidden="false" customHeight="true" outlineLevel="0" collapsed="false">
      <c r="A18" s="34" t="s">
        <v>138</v>
      </c>
      <c r="B18" s="34" t="s">
        <v>150</v>
      </c>
      <c r="C18" s="34" t="s">
        <v>151</v>
      </c>
      <c r="D18" s="35" t="n">
        <v>4</v>
      </c>
      <c r="E18" s="35" t="n">
        <v>0</v>
      </c>
      <c r="F18" s="31" t="s">
        <v>98</v>
      </c>
      <c r="G18" s="34" t="s">
        <v>152</v>
      </c>
      <c r="H18" s="34" t="s">
        <v>153</v>
      </c>
    </row>
    <row r="19" customFormat="false" ht="57.75" hidden="false" customHeight="true" outlineLevel="0" collapsed="false">
      <c r="A19" s="36" t="s">
        <v>154</v>
      </c>
      <c r="B19" s="36" t="s">
        <v>155</v>
      </c>
      <c r="C19" s="36" t="s">
        <v>156</v>
      </c>
      <c r="D19" s="37" t="n">
        <v>0</v>
      </c>
      <c r="E19" s="37" t="n">
        <v>1</v>
      </c>
      <c r="F19" s="30" t="s">
        <v>44</v>
      </c>
      <c r="G19" s="36" t="s">
        <v>157</v>
      </c>
      <c r="H19" s="36" t="s">
        <v>158</v>
      </c>
    </row>
    <row r="20" customFormat="false" ht="21.75" hidden="false" customHeight="true" outlineLevel="0" collapsed="false">
      <c r="A20" s="11" t="s">
        <v>31</v>
      </c>
      <c r="B20" s="11"/>
      <c r="C20" s="11"/>
      <c r="D20" s="12" t="n">
        <f aca="false">SUM(D3:D19)</f>
        <v>17</v>
      </c>
      <c r="E20" s="12" t="n">
        <f aca="false">SUM(E3:E19)</f>
        <v>11</v>
      </c>
      <c r="F20" s="12" t="s">
        <v>159</v>
      </c>
      <c r="G20" s="11"/>
      <c r="H20" s="11"/>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20"/>
    <col collapsed="false" customWidth="true" hidden="false" outlineLevel="0" max="4" min="4" style="1" width="30"/>
    <col collapsed="false" customWidth="true" hidden="false" outlineLevel="0" max="5" min="5" style="1" width="22"/>
    <col collapsed="false" customWidth="true" hidden="false" outlineLevel="0" max="6" min="6" style="1" width="26"/>
    <col collapsed="false" customWidth="true" hidden="false" outlineLevel="0" max="7" min="7" style="1" width="45"/>
    <col collapsed="false" customWidth="true" hidden="false" outlineLevel="0" max="8" min="8" style="1" width="14"/>
  </cols>
  <sheetData>
    <row r="1" customFormat="false" ht="25.5" hidden="false" customHeight="true" outlineLevel="0" collapsed="false">
      <c r="A1" s="13" t="s">
        <v>160</v>
      </c>
      <c r="B1" s="13"/>
      <c r="C1" s="13"/>
      <c r="D1" s="13"/>
      <c r="E1" s="13"/>
      <c r="F1" s="13"/>
      <c r="G1" s="13"/>
      <c r="H1" s="13"/>
    </row>
    <row r="2" customFormat="false" ht="30" hidden="false" customHeight="true" outlineLevel="0" collapsed="false">
      <c r="A2" s="29" t="s">
        <v>161</v>
      </c>
      <c r="B2" s="29" t="s">
        <v>162</v>
      </c>
      <c r="C2" s="29" t="s">
        <v>84</v>
      </c>
      <c r="D2" s="29" t="s">
        <v>163</v>
      </c>
      <c r="E2" s="29" t="s">
        <v>164</v>
      </c>
      <c r="F2" s="29" t="s">
        <v>165</v>
      </c>
      <c r="G2" s="29" t="s">
        <v>16</v>
      </c>
      <c r="H2" s="29" t="s">
        <v>166</v>
      </c>
    </row>
    <row r="3" customFormat="false" ht="15" hidden="false" customHeight="true" outlineLevel="0" collapsed="false">
      <c r="A3" s="38" t="s">
        <v>167</v>
      </c>
      <c r="B3" s="39" t="s">
        <v>168</v>
      </c>
      <c r="C3" s="40" t="s">
        <v>92</v>
      </c>
      <c r="D3" s="40" t="s">
        <v>17</v>
      </c>
      <c r="E3" s="41" t="s">
        <v>169</v>
      </c>
      <c r="F3" s="40" t="s">
        <v>170</v>
      </c>
      <c r="G3" s="40" t="s">
        <v>171</v>
      </c>
      <c r="H3" s="39" t="s">
        <v>172</v>
      </c>
    </row>
    <row r="4" customFormat="false" ht="15" hidden="false" customHeight="true" outlineLevel="0" collapsed="false">
      <c r="A4" s="38" t="s">
        <v>173</v>
      </c>
      <c r="B4" s="39" t="s">
        <v>168</v>
      </c>
      <c r="C4" s="40" t="s">
        <v>92</v>
      </c>
      <c r="D4" s="40" t="s">
        <v>17</v>
      </c>
      <c r="E4" s="14" t="s">
        <v>174</v>
      </c>
      <c r="F4" s="40" t="s">
        <v>175</v>
      </c>
      <c r="G4" s="40" t="s">
        <v>176</v>
      </c>
      <c r="H4" s="39" t="s">
        <v>172</v>
      </c>
    </row>
    <row r="5" customFormat="false" ht="15" hidden="false" customHeight="true" outlineLevel="0" collapsed="false">
      <c r="A5" s="38" t="s">
        <v>177</v>
      </c>
      <c r="B5" s="39" t="s">
        <v>168</v>
      </c>
      <c r="C5" s="40" t="s">
        <v>92</v>
      </c>
      <c r="D5" s="40" t="s">
        <v>17</v>
      </c>
      <c r="E5" s="14" t="s">
        <v>174</v>
      </c>
      <c r="F5" s="40" t="s">
        <v>178</v>
      </c>
      <c r="G5" s="40" t="s">
        <v>179</v>
      </c>
      <c r="H5" s="39" t="s">
        <v>172</v>
      </c>
    </row>
    <row r="6" customFormat="false" ht="15" hidden="false" customHeight="true" outlineLevel="0" collapsed="false">
      <c r="A6" s="38" t="s">
        <v>180</v>
      </c>
      <c r="B6" s="39" t="s">
        <v>168</v>
      </c>
      <c r="C6" s="40" t="s">
        <v>103</v>
      </c>
      <c r="D6" s="40" t="s">
        <v>19</v>
      </c>
      <c r="E6" s="41" t="s">
        <v>169</v>
      </c>
      <c r="F6" s="40" t="s">
        <v>181</v>
      </c>
      <c r="G6" s="40" t="s">
        <v>182</v>
      </c>
      <c r="H6" s="39" t="s">
        <v>172</v>
      </c>
    </row>
    <row r="7" customFormat="false" ht="15" hidden="false" customHeight="true" outlineLevel="0" collapsed="false">
      <c r="A7" s="38" t="s">
        <v>183</v>
      </c>
      <c r="B7" s="39" t="s">
        <v>168</v>
      </c>
      <c r="C7" s="40" t="s">
        <v>103</v>
      </c>
      <c r="D7" s="40" t="s">
        <v>19</v>
      </c>
      <c r="E7" s="41" t="s">
        <v>169</v>
      </c>
      <c r="F7" s="40" t="s">
        <v>184</v>
      </c>
      <c r="G7" s="40" t="s">
        <v>182</v>
      </c>
      <c r="H7" s="39" t="s">
        <v>172</v>
      </c>
    </row>
    <row r="8" customFormat="false" ht="15" hidden="false" customHeight="true" outlineLevel="0" collapsed="false">
      <c r="A8" s="38" t="s">
        <v>185</v>
      </c>
      <c r="B8" s="39" t="s">
        <v>168</v>
      </c>
      <c r="C8" s="40" t="s">
        <v>103</v>
      </c>
      <c r="D8" s="40" t="s">
        <v>19</v>
      </c>
      <c r="E8" s="14" t="s">
        <v>174</v>
      </c>
      <c r="F8" s="40" t="s">
        <v>186</v>
      </c>
      <c r="G8" s="40" t="s">
        <v>187</v>
      </c>
      <c r="H8" s="39" t="s">
        <v>172</v>
      </c>
    </row>
    <row r="9" customFormat="false" ht="15" hidden="false" customHeight="true" outlineLevel="0" collapsed="false">
      <c r="A9" s="38" t="s">
        <v>188</v>
      </c>
      <c r="B9" s="39" t="s">
        <v>168</v>
      </c>
      <c r="C9" s="40" t="s">
        <v>92</v>
      </c>
      <c r="D9" s="40" t="s">
        <v>21</v>
      </c>
      <c r="E9" s="41" t="s">
        <v>169</v>
      </c>
      <c r="F9" s="40" t="s">
        <v>170</v>
      </c>
      <c r="G9" s="40" t="s">
        <v>182</v>
      </c>
      <c r="H9" s="39" t="s">
        <v>172</v>
      </c>
    </row>
    <row r="10" customFormat="false" ht="15" hidden="false" customHeight="true" outlineLevel="0" collapsed="false">
      <c r="A10" s="38" t="s">
        <v>189</v>
      </c>
      <c r="B10" s="39" t="s">
        <v>168</v>
      </c>
      <c r="C10" s="40" t="s">
        <v>92</v>
      </c>
      <c r="D10" s="40" t="s">
        <v>21</v>
      </c>
      <c r="E10" s="14" t="s">
        <v>174</v>
      </c>
      <c r="F10" s="40" t="s">
        <v>190</v>
      </c>
      <c r="G10" s="40" t="s">
        <v>191</v>
      </c>
      <c r="H10" s="39" t="s">
        <v>172</v>
      </c>
    </row>
    <row r="11" customFormat="false" ht="15" hidden="false" customHeight="true" outlineLevel="0" collapsed="false">
      <c r="A11" s="38" t="s">
        <v>192</v>
      </c>
      <c r="B11" s="39" t="s">
        <v>168</v>
      </c>
      <c r="C11" s="40" t="s">
        <v>103</v>
      </c>
      <c r="D11" s="40" t="s">
        <v>23</v>
      </c>
      <c r="E11" s="41" t="s">
        <v>169</v>
      </c>
      <c r="F11" s="40" t="s">
        <v>170</v>
      </c>
      <c r="G11" s="40" t="s">
        <v>182</v>
      </c>
      <c r="H11" s="39" t="s">
        <v>172</v>
      </c>
    </row>
    <row r="12" customFormat="false" ht="15" hidden="false" customHeight="true" outlineLevel="0" collapsed="false">
      <c r="A12" s="38" t="s">
        <v>193</v>
      </c>
      <c r="B12" s="39" t="s">
        <v>168</v>
      </c>
      <c r="C12" s="40" t="s">
        <v>103</v>
      </c>
      <c r="D12" s="40" t="s">
        <v>23</v>
      </c>
      <c r="E12" s="14" t="s">
        <v>174</v>
      </c>
      <c r="F12" s="40" t="s">
        <v>194</v>
      </c>
      <c r="G12" s="40" t="s">
        <v>191</v>
      </c>
      <c r="H12" s="39" t="s">
        <v>172</v>
      </c>
    </row>
    <row r="13" customFormat="false" ht="15" hidden="false" customHeight="true" outlineLevel="0" collapsed="false">
      <c r="A13" s="38" t="s">
        <v>195</v>
      </c>
      <c r="B13" s="39" t="s">
        <v>168</v>
      </c>
      <c r="C13" s="40" t="s">
        <v>114</v>
      </c>
      <c r="D13" s="40" t="s">
        <v>25</v>
      </c>
      <c r="E13" s="14" t="s">
        <v>174</v>
      </c>
      <c r="F13" s="40" t="s">
        <v>170</v>
      </c>
      <c r="G13" s="40" t="s">
        <v>182</v>
      </c>
      <c r="H13" s="39" t="s">
        <v>172</v>
      </c>
    </row>
    <row r="14" customFormat="false" ht="15" hidden="false" customHeight="true" outlineLevel="0" collapsed="false">
      <c r="A14" s="38" t="s">
        <v>196</v>
      </c>
      <c r="B14" s="39" t="s">
        <v>168</v>
      </c>
      <c r="C14" s="40" t="s">
        <v>114</v>
      </c>
      <c r="D14" s="40" t="s">
        <v>25</v>
      </c>
      <c r="E14" s="14" t="s">
        <v>174</v>
      </c>
      <c r="F14" s="40" t="s">
        <v>197</v>
      </c>
      <c r="G14" s="40" t="s">
        <v>198</v>
      </c>
      <c r="H14" s="39" t="s">
        <v>172</v>
      </c>
    </row>
    <row r="15" customFormat="false" ht="15" hidden="false" customHeight="true" outlineLevel="0" collapsed="false">
      <c r="A15" s="38" t="s">
        <v>199</v>
      </c>
      <c r="B15" s="39" t="s">
        <v>168</v>
      </c>
      <c r="C15" s="40" t="s">
        <v>126</v>
      </c>
      <c r="D15" s="40" t="s">
        <v>27</v>
      </c>
      <c r="E15" s="14" t="s">
        <v>174</v>
      </c>
      <c r="F15" s="40" t="s">
        <v>200</v>
      </c>
      <c r="G15" s="40" t="s">
        <v>201</v>
      </c>
      <c r="H15" s="39" t="s">
        <v>172</v>
      </c>
    </row>
    <row r="16" customFormat="false" ht="15" hidden="false" customHeight="true" outlineLevel="0" collapsed="false">
      <c r="A16" s="25" t="s">
        <v>202</v>
      </c>
      <c r="B16" s="24" t="s">
        <v>168</v>
      </c>
      <c r="C16" s="23" t="s">
        <v>138</v>
      </c>
      <c r="D16" s="23" t="s">
        <v>29</v>
      </c>
      <c r="E16" s="41" t="s">
        <v>203</v>
      </c>
      <c r="F16" s="23" t="s">
        <v>204</v>
      </c>
      <c r="G16" s="23" t="s">
        <v>205</v>
      </c>
      <c r="H16" s="24" t="s">
        <v>172</v>
      </c>
    </row>
    <row r="17" customFormat="false" ht="15" hidden="false" customHeight="true" outlineLevel="0" collapsed="false">
      <c r="A17" s="25" t="s">
        <v>206</v>
      </c>
      <c r="B17" s="24" t="s">
        <v>168</v>
      </c>
      <c r="C17" s="23" t="s">
        <v>138</v>
      </c>
      <c r="D17" s="23" t="s">
        <v>29</v>
      </c>
      <c r="E17" s="41" t="s">
        <v>203</v>
      </c>
      <c r="F17" s="23" t="s">
        <v>207</v>
      </c>
      <c r="G17" s="23" t="s">
        <v>208</v>
      </c>
      <c r="H17" s="24" t="s">
        <v>172</v>
      </c>
    </row>
    <row r="18" customFormat="false" ht="15" hidden="false" customHeight="true" outlineLevel="0" collapsed="false">
      <c r="A18" s="25" t="s">
        <v>209</v>
      </c>
      <c r="B18" s="24" t="s">
        <v>168</v>
      </c>
      <c r="C18" s="23" t="s">
        <v>138</v>
      </c>
      <c r="D18" s="23" t="s">
        <v>29</v>
      </c>
      <c r="E18" s="41" t="s">
        <v>203</v>
      </c>
      <c r="F18" s="23" t="s">
        <v>210</v>
      </c>
      <c r="G18" s="23" t="s">
        <v>208</v>
      </c>
      <c r="H18" s="24" t="s">
        <v>172</v>
      </c>
    </row>
    <row r="19" customFormat="false" ht="15" hidden="false" customHeight="true" outlineLevel="0" collapsed="false">
      <c r="A19" s="25" t="s">
        <v>211</v>
      </c>
      <c r="B19" s="24" t="s">
        <v>168</v>
      </c>
      <c r="C19" s="23" t="s">
        <v>138</v>
      </c>
      <c r="D19" s="23" t="s">
        <v>29</v>
      </c>
      <c r="E19" s="41" t="s">
        <v>203</v>
      </c>
      <c r="F19" s="23" t="s">
        <v>212</v>
      </c>
      <c r="G19" s="23" t="s">
        <v>208</v>
      </c>
      <c r="H19" s="24" t="s">
        <v>172</v>
      </c>
    </row>
    <row r="20" customFormat="false" ht="15" hidden="false" customHeight="true" outlineLevel="0" collapsed="false">
      <c r="A20" s="21" t="s">
        <v>213</v>
      </c>
      <c r="B20" s="20" t="s">
        <v>214</v>
      </c>
      <c r="C20" s="19" t="s">
        <v>92</v>
      </c>
      <c r="D20" s="19" t="s">
        <v>93</v>
      </c>
      <c r="E20" s="18" t="s">
        <v>215</v>
      </c>
      <c r="F20" s="19" t="s">
        <v>216</v>
      </c>
      <c r="G20" s="19" t="s">
        <v>217</v>
      </c>
      <c r="H20" s="20" t="s">
        <v>218</v>
      </c>
    </row>
    <row r="21" customFormat="false" ht="15" hidden="false" customHeight="true" outlineLevel="0" collapsed="false">
      <c r="A21" s="21" t="s">
        <v>219</v>
      </c>
      <c r="B21" s="20" t="s">
        <v>214</v>
      </c>
      <c r="C21" s="19" t="s">
        <v>92</v>
      </c>
      <c r="D21" s="19" t="s">
        <v>17</v>
      </c>
      <c r="E21" s="42" t="s">
        <v>220</v>
      </c>
      <c r="F21" s="19" t="s">
        <v>216</v>
      </c>
      <c r="G21" s="19" t="s">
        <v>221</v>
      </c>
      <c r="H21" s="20" t="s">
        <v>218</v>
      </c>
    </row>
    <row r="22" customFormat="false" ht="15" hidden="false" customHeight="true" outlineLevel="0" collapsed="false">
      <c r="A22" s="21" t="s">
        <v>222</v>
      </c>
      <c r="B22" s="20" t="s">
        <v>214</v>
      </c>
      <c r="C22" s="19" t="s">
        <v>92</v>
      </c>
      <c r="D22" s="19" t="s">
        <v>21</v>
      </c>
      <c r="E22" s="42" t="s">
        <v>220</v>
      </c>
      <c r="F22" s="19" t="s">
        <v>216</v>
      </c>
      <c r="G22" s="19" t="s">
        <v>223</v>
      </c>
      <c r="H22" s="20" t="s">
        <v>218</v>
      </c>
    </row>
    <row r="23" customFormat="false" ht="15" hidden="false" customHeight="true" outlineLevel="0" collapsed="false">
      <c r="A23" s="21" t="s">
        <v>224</v>
      </c>
      <c r="B23" s="20" t="s">
        <v>214</v>
      </c>
      <c r="C23" s="19" t="s">
        <v>103</v>
      </c>
      <c r="D23" s="19" t="s">
        <v>225</v>
      </c>
      <c r="E23" s="42" t="s">
        <v>220</v>
      </c>
      <c r="F23" s="19" t="s">
        <v>216</v>
      </c>
      <c r="G23" s="19" t="s">
        <v>226</v>
      </c>
      <c r="H23" s="20" t="s">
        <v>218</v>
      </c>
    </row>
    <row r="24" customFormat="false" ht="15" hidden="false" customHeight="true" outlineLevel="0" collapsed="false">
      <c r="A24" s="21" t="s">
        <v>227</v>
      </c>
      <c r="B24" s="20" t="s">
        <v>214</v>
      </c>
      <c r="C24" s="19" t="s">
        <v>103</v>
      </c>
      <c r="D24" s="19" t="s">
        <v>23</v>
      </c>
      <c r="E24" s="42" t="s">
        <v>220</v>
      </c>
      <c r="F24" s="19" t="s">
        <v>216</v>
      </c>
      <c r="G24" s="19" t="s">
        <v>228</v>
      </c>
      <c r="H24" s="20" t="s">
        <v>218</v>
      </c>
    </row>
    <row r="25" customFormat="false" ht="15" hidden="false" customHeight="true" outlineLevel="0" collapsed="false">
      <c r="A25" s="21" t="s">
        <v>229</v>
      </c>
      <c r="B25" s="20" t="s">
        <v>214</v>
      </c>
      <c r="C25" s="19" t="s">
        <v>114</v>
      </c>
      <c r="D25" s="19" t="s">
        <v>25</v>
      </c>
      <c r="E25" s="42" t="s">
        <v>220</v>
      </c>
      <c r="F25" s="19" t="s">
        <v>216</v>
      </c>
      <c r="G25" s="19" t="s">
        <v>230</v>
      </c>
      <c r="H25" s="20" t="s">
        <v>218</v>
      </c>
    </row>
    <row r="26" customFormat="false" ht="21.75" hidden="false" customHeight="true" outlineLevel="0" collapsed="false">
      <c r="A26" s="21" t="s">
        <v>231</v>
      </c>
      <c r="B26" s="20" t="s">
        <v>214</v>
      </c>
      <c r="C26" s="19" t="s">
        <v>114</v>
      </c>
      <c r="D26" s="19" t="s">
        <v>232</v>
      </c>
      <c r="E26" s="18" t="s">
        <v>215</v>
      </c>
      <c r="F26" s="19" t="s">
        <v>216</v>
      </c>
      <c r="G26" s="19" t="s">
        <v>233</v>
      </c>
      <c r="H26" s="20" t="s">
        <v>218</v>
      </c>
    </row>
    <row r="27" customFormat="false" ht="15" hidden="false" customHeight="true" outlineLevel="0" collapsed="false">
      <c r="A27" s="21" t="s">
        <v>234</v>
      </c>
      <c r="B27" s="20" t="s">
        <v>214</v>
      </c>
      <c r="C27" s="19" t="s">
        <v>126</v>
      </c>
      <c r="D27" s="19" t="s">
        <v>27</v>
      </c>
      <c r="E27" s="18" t="s">
        <v>215</v>
      </c>
      <c r="F27" s="19" t="s">
        <v>216</v>
      </c>
      <c r="G27" s="19" t="s">
        <v>235</v>
      </c>
      <c r="H27" s="20" t="s">
        <v>218</v>
      </c>
    </row>
    <row r="28" customFormat="false" ht="15" hidden="false" customHeight="true" outlineLevel="0" collapsed="false">
      <c r="A28" s="21" t="s">
        <v>236</v>
      </c>
      <c r="B28" s="20" t="s">
        <v>214</v>
      </c>
      <c r="C28" s="19" t="s">
        <v>126</v>
      </c>
      <c r="D28" s="19" t="s">
        <v>134</v>
      </c>
      <c r="E28" s="18" t="s">
        <v>215</v>
      </c>
      <c r="F28" s="19" t="s">
        <v>216</v>
      </c>
      <c r="G28" s="19" t="s">
        <v>237</v>
      </c>
      <c r="H28" s="20" t="s">
        <v>218</v>
      </c>
    </row>
    <row r="29" customFormat="false" ht="15" hidden="false" customHeight="true" outlineLevel="0" collapsed="false">
      <c r="A29" s="21" t="s">
        <v>238</v>
      </c>
      <c r="B29" s="20" t="s">
        <v>214</v>
      </c>
      <c r="C29" s="19" t="s">
        <v>138</v>
      </c>
      <c r="D29" s="19" t="s">
        <v>239</v>
      </c>
      <c r="E29" s="18" t="s">
        <v>215</v>
      </c>
      <c r="F29" s="19" t="s">
        <v>216</v>
      </c>
      <c r="G29" s="19" t="s">
        <v>240</v>
      </c>
      <c r="H29" s="20" t="s">
        <v>218</v>
      </c>
    </row>
    <row r="30" customFormat="false" ht="15" hidden="false" customHeight="true" outlineLevel="0" collapsed="false">
      <c r="A30" s="21" t="s">
        <v>241</v>
      </c>
      <c r="B30" s="20" t="s">
        <v>214</v>
      </c>
      <c r="C30" s="19" t="s">
        <v>154</v>
      </c>
      <c r="D30" s="19" t="s">
        <v>155</v>
      </c>
      <c r="E30" s="18" t="s">
        <v>215</v>
      </c>
      <c r="F30" s="19" t="s">
        <v>216</v>
      </c>
      <c r="G30" s="19" t="s">
        <v>242</v>
      </c>
      <c r="H30" s="20" t="s">
        <v>218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3" min="3" style="1" width="38"/>
    <col collapsed="false" customWidth="true" hidden="false" outlineLevel="0" max="4" min="4" style="1" width="45"/>
    <col collapsed="false" customWidth="true" hidden="false" outlineLevel="0" max="5" min="5" style="1" width="22"/>
    <col collapsed="false" customWidth="true" hidden="false" outlineLevel="0" max="6" min="6" style="1" width="16"/>
  </cols>
  <sheetData>
    <row r="1" customFormat="false" ht="25.5" hidden="false" customHeight="true" outlineLevel="0" collapsed="false">
      <c r="A1" s="13" t="s">
        <v>243</v>
      </c>
      <c r="B1" s="13"/>
      <c r="C1" s="13"/>
      <c r="D1" s="13"/>
      <c r="E1" s="13"/>
    </row>
    <row r="2" customFormat="false" ht="30" hidden="false" customHeight="true" outlineLevel="0" collapsed="false">
      <c r="A2" s="29" t="s">
        <v>244</v>
      </c>
      <c r="B2" s="29" t="s">
        <v>245</v>
      </c>
      <c r="C2" s="29" t="s">
        <v>246</v>
      </c>
      <c r="D2" s="29" t="s">
        <v>247</v>
      </c>
      <c r="E2" s="29" t="s">
        <v>166</v>
      </c>
      <c r="F2" s="29" t="s">
        <v>248</v>
      </c>
    </row>
    <row r="3" customFormat="false" ht="31.5" hidden="false" customHeight="true" outlineLevel="0" collapsed="false">
      <c r="A3" s="43" t="s">
        <v>249</v>
      </c>
      <c r="B3" s="40" t="s">
        <v>250</v>
      </c>
      <c r="C3" s="40" t="s">
        <v>251</v>
      </c>
      <c r="D3" s="40" t="s">
        <v>252</v>
      </c>
      <c r="E3" s="40" t="s">
        <v>253</v>
      </c>
      <c r="F3" s="25" t="s">
        <v>254</v>
      </c>
    </row>
    <row r="4" customFormat="false" ht="31.5" hidden="false" customHeight="true" outlineLevel="0" collapsed="false">
      <c r="A4" s="44" t="s">
        <v>255</v>
      </c>
      <c r="B4" s="28" t="s">
        <v>138</v>
      </c>
      <c r="C4" s="28" t="s">
        <v>256</v>
      </c>
      <c r="D4" s="28" t="s">
        <v>257</v>
      </c>
      <c r="E4" s="28" t="s">
        <v>253</v>
      </c>
      <c r="F4" s="25" t="s">
        <v>258</v>
      </c>
    </row>
    <row r="5" customFormat="false" ht="31.5" hidden="false" customHeight="true" outlineLevel="0" collapsed="false">
      <c r="A5" s="43" t="s">
        <v>259</v>
      </c>
      <c r="B5" s="40" t="s">
        <v>92</v>
      </c>
      <c r="C5" s="40" t="s">
        <v>93</v>
      </c>
      <c r="D5" s="40" t="s">
        <v>260</v>
      </c>
      <c r="E5" s="40" t="s">
        <v>253</v>
      </c>
      <c r="F5" s="25" t="s">
        <v>261</v>
      </c>
    </row>
    <row r="6" customFormat="false" ht="31.5" hidden="false" customHeight="true" outlineLevel="0" collapsed="false">
      <c r="A6" s="44" t="s">
        <v>262</v>
      </c>
      <c r="B6" s="28" t="s">
        <v>126</v>
      </c>
      <c r="C6" s="28" t="s">
        <v>134</v>
      </c>
      <c r="D6" s="28" t="s">
        <v>263</v>
      </c>
      <c r="E6" s="28" t="s">
        <v>253</v>
      </c>
      <c r="F6" s="25" t="s">
        <v>264</v>
      </c>
    </row>
    <row r="7" customFormat="false" ht="31.5" hidden="false" customHeight="true" outlineLevel="0" collapsed="false">
      <c r="A7" s="43" t="s">
        <v>265</v>
      </c>
      <c r="B7" s="40" t="s">
        <v>154</v>
      </c>
      <c r="C7" s="40" t="s">
        <v>155</v>
      </c>
      <c r="D7" s="40" t="s">
        <v>263</v>
      </c>
      <c r="E7" s="40" t="s">
        <v>253</v>
      </c>
      <c r="F7" s="25" t="s">
        <v>266</v>
      </c>
    </row>
    <row r="9" customFormat="false" ht="30" hidden="false" customHeight="true" outlineLevel="0" collapsed="false">
      <c r="A9" s="45" t="s">
        <v>267</v>
      </c>
      <c r="B9" s="45"/>
      <c r="C9" s="45"/>
      <c r="D9" s="45"/>
      <c r="E9" s="45"/>
    </row>
  </sheetData>
  <mergeCells count="2">
    <mergeCell ref="A1:E1"/>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85"/>
  </cols>
  <sheetData>
    <row r="1" customFormat="false" ht="25.5" hidden="false" customHeight="true" outlineLevel="0" collapsed="false">
      <c r="A1" s="13" t="s">
        <v>268</v>
      </c>
      <c r="B1" s="13"/>
    </row>
    <row r="3" customFormat="false" ht="60" hidden="false" customHeight="true" outlineLevel="0" collapsed="false">
      <c r="A3" s="46" t="s">
        <v>269</v>
      </c>
      <c r="B3" s="8" t="s">
        <v>270</v>
      </c>
    </row>
    <row r="4" customFormat="false" ht="60" hidden="false" customHeight="true" outlineLevel="0" collapsed="false">
      <c r="A4" s="46" t="s">
        <v>271</v>
      </c>
      <c r="B4" s="10" t="s">
        <v>272</v>
      </c>
    </row>
    <row r="5" customFormat="false" ht="60" hidden="false" customHeight="true" outlineLevel="0" collapsed="false">
      <c r="A5" s="46" t="s">
        <v>273</v>
      </c>
      <c r="B5" s="8" t="s">
        <v>274</v>
      </c>
    </row>
    <row r="6" customFormat="false" ht="60" hidden="false" customHeight="true" outlineLevel="0" collapsed="false">
      <c r="A6" s="46" t="s">
        <v>79</v>
      </c>
      <c r="B6" s="10" t="s">
        <v>275</v>
      </c>
    </row>
    <row r="7" customFormat="false" ht="60" hidden="false" customHeight="true" outlineLevel="0" collapsed="false">
      <c r="A7" s="46" t="s">
        <v>276</v>
      </c>
      <c r="B7" s="8" t="s">
        <v>277</v>
      </c>
    </row>
    <row r="8" customFormat="false" ht="60" hidden="false" customHeight="true" outlineLevel="0" collapsed="false">
      <c r="A8" s="46" t="s">
        <v>278</v>
      </c>
      <c r="B8" s="10" t="s">
        <v>279</v>
      </c>
    </row>
    <row r="9" customFormat="false" ht="60" hidden="false" customHeight="true" outlineLevel="0" collapsed="false">
      <c r="A9" s="46" t="s">
        <v>280</v>
      </c>
      <c r="B9" s="8" t="s">
        <v>281</v>
      </c>
    </row>
    <row r="10" customFormat="false" ht="60" hidden="false" customHeight="true" outlineLevel="0" collapsed="false">
      <c r="A10" s="46" t="s">
        <v>282</v>
      </c>
      <c r="B10" s="10" t="s">
        <v>283</v>
      </c>
    </row>
    <row r="11" customFormat="false" ht="60" hidden="false" customHeight="true" outlineLevel="0" collapsed="false">
      <c r="A11" s="46" t="s">
        <v>284</v>
      </c>
      <c r="B11" s="8" t="s">
        <v>285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2026-07-04T14:04:36Z</dcterms:created>
  <dc:creator>openpyxl</dc:creator>
  <dc:description/>
  <dc:language>en-US</dc:language>
  <cp:lastModifiedBy/>
  <dcterms:modified xsi:type="dcterms:W3CDTF">2026-07-04T22:19:36Z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