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cion Str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<sst xmlns="http://schemas.openxmlformats.org/spreadsheetml/2006/main" count="47" uniqueCount="45">
  <si>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Plantas Fotovoltaicas — República Dominicana: Estimación de Strings</t>
  </si>
  <si>
    <t xml:space="preserve">Supuestos técnicos (editables)</t>
  </si>
  <si>
    <t xml:space="preserve">Potencia por módulo (Wp)</t>
  </si>
  <si>
    <t xml:space="preserve">Potencia por string (kWp) =</t>
  </si>
  <si>
    <t xml:space="preserve">Módulos por string</t>
  </si>
  <si>
    <t xml:space="preserve">Ratio DC/AC (proyectos con dato AC)</t>
  </si>
  <si>
    <t xml:space="preserve">Proyecto</t>
  </si>
  <si>
    <t xml:space="preserve">Localidad / Municipio</t>
  </si>
  <si>
    <t xml:space="preserve">Provincia</t>
  </si>
  <si>
    <t xml:space="preserve">Dato de potencia</t>
  </si>
  <si>
    <t xml:space="preserve">Base MWp (DC)</t>
  </si>
  <si>
    <t xml:space="preserve">Potencia string (kWp)</t>
  </si>
  <si>
    <t xml:space="preserve">Strings estimados</t>
  </si>
  <si>
    <t xml:space="preserve">Módulos estimados</t>
  </si>
  <si>
    <t xml:space="preserve">Notas</t>
  </si>
  <si>
    <t xml:space="preserve">Parque Solar Girasol</t>
  </si>
  <si>
    <t xml:space="preserve">Yaguate</t>
  </si>
  <si>
    <t xml:space="preserve">San Cristóbal</t>
  </si>
  <si>
    <t xml:space="preserve">120 MW (AC asumido)</t>
  </si>
  <si>
    <t xml:space="preserve">Convertido a DC con ratio DC/AC. Módulo/inversor no confirmados.</t>
  </si>
  <si>
    <t xml:space="preserve">Quisqueya Solar</t>
  </si>
  <si>
    <t xml:space="preserve">San Pedro de Macorís</t>
  </si>
  <si>
    <t xml:space="preserve">1.5 MW (AC asumido)</t>
  </si>
  <si>
    <t xml:space="preserve">Proyecto pequeño y antiguo (~2016); módulos reales probablemente &lt;550 Wp, lo que elevaría el conteo de strings.</t>
  </si>
  <si>
    <t xml:space="preserve">Parque Solar Sajoma</t>
  </si>
  <si>
    <t xml:space="preserve">Ubicación no confirmada</t>
  </si>
  <si>
    <t xml:space="preserve">Pedernales (por confirmar)</t>
  </si>
  <si>
    <t xml:space="preserve">80 MW (AC asumido)</t>
  </si>
  <si>
    <t xml:space="preserve">Ubicación aparece en la flota solar pero no está confirmada.</t>
  </si>
  <si>
    <t xml:space="preserve">Parque Solar Esperanza I</t>
  </si>
  <si>
    <t xml:space="preserve">Esperanza (Peñuela, Cacheo, Cañeo)</t>
  </si>
  <si>
    <t xml:space="preserve">Valverde</t>
  </si>
  <si>
    <t xml:space="preserve">90 MWp (DC)</t>
  </si>
  <si>
    <t xml:space="preserve">Dato ya en DC (MWp): estimación más confiable.</t>
  </si>
  <si>
    <t xml:space="preserve">Parque Solar Esperanza II</t>
  </si>
  <si>
    <t xml:space="preserve">Esperanza</t>
  </si>
  <si>
    <t xml:space="preserve">~90 MWp (asumido)</t>
  </si>
  <si>
    <t xml:space="preserve">En construcción avanzada. Capacidad asumida igual a Esperanza I; pendiente de confirmar.</t>
  </si>
  <si>
    <t xml:space="preserve">Parque Solar Tornasol</t>
  </si>
  <si>
    <t xml:space="preserve">Nizao</t>
  </si>
  <si>
    <t xml:space="preserve">Peravia</t>
  </si>
  <si>
    <t xml:space="preserve">70 MWp (DC) / 48.29 MWn</t>
  </si>
  <si>
    <t xml:space="preserve">Dato en DC (MWp): estimación confiable.</t>
  </si>
  <si>
    <t xml:space="preserve">TOTAL (flota estimada)</t>
  </si>
  <si>
    <t xml:space="preserve">Limitaciones importantes: estos son órdenes de magnitud, no cifras de diseño. Los strings reales varían significativamente según la potencia exacta del módulo (450–630 Wp cambia el resultado ±25%), el número de módulos por string (depende del voltaje del inversor y la temperatura del sitio), y la potencia DC real instalada (que rara vez es pública).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</si>
</sst>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4E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9"/>
      <color rgb="FF7A2E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4E"/>
        <bgColor rgb="FF404040"/>
      </patternFill>
    </fill>
    <fill>
      <patternFill patternType="solid">
        <fgColor rgb="FFEAF1F1"/>
        <bgColor rgb="FFFBF0E8"/>
      </patternFill>
    </fill>
    <fill>
      <patternFill patternType="solid">
        <fgColor rgb="FFD5E0E0"/>
        <bgColor rgb="FFEAF1F1"/>
      </patternFill>
    </fill>
    <fill>
      <patternFill patternType="solid">
        <fgColor rgb="FFFBF0E8"/>
        <bgColor rgb="FFEAF1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BF0E8"/>
      <rgbColor rgb="FFEAF1F1"/>
      <rgbColor rgb="FF660066"/>
      <rgbColor rgb="FFFF8080"/>
      <rgbColor rgb="FF0066CC"/>
      <rgbColor rgb="FFD5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4E"/>
      <rgbColor rgb="FF339966"/>
      <rgbColor rgb="FF003300"/>
      <rgbColor rgb="FF333300"/>
      <rgbColor rgb="FF7A2E2E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550</v>
      </c>
      <c r="C4" s="5" t="s">
        <v>3</v>
      </c>
      <c r="F4" s="6" t="n">
        <f aca="false">B4*B5/1000</f>
        <v>15.4</v>
      </c>
    </row>
    <row r="5" customFormat="false" ht="15" hidden="false" customHeight="false" outlineLevel="0" collapsed="false">
      <c r="A5" s="3" t="s">
        <v>4</v>
      </c>
      <c r="B5" s="4" t="n">
        <v>28</v>
      </c>
    </row>
    <row r="6" customFormat="false" ht="15" hidden="false" customHeight="false" outlineLevel="0" collapsed="false">
      <c r="A6" s="3" t="s">
        <v>5</v>
      </c>
      <c r="B6" s="4" t="n">
        <v>1.25</v>
      </c>
    </row>
    <row r="8" customFormat="false" ht="31.5" hidden="false" customHeight="tru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</row>
    <row r="9" customFormat="false" ht="45.75" hidden="false" customHeight="true" outlineLevel="0" collapsed="false">
      <c r="A9" s="8" t="s">
        <v>15</v>
      </c>
      <c r="B9" s="9" t="s">
        <v>16</v>
      </c>
      <c r="C9" s="9" t="s">
        <v>17</v>
      </c>
      <c r="D9" s="9" t="s">
        <v>18</v>
      </c>
      <c r="E9" s="10" t="n">
        <f aca="false">120*$B$6</f>
        <v>150</v>
      </c>
      <c r="F9" s="10" t="n">
        <f aca="false">$B$4*$B$5/1000</f>
        <v>15.4</v>
      </c>
      <c r="G9" s="11" t="n">
        <f aca="false">E9*1000/F9</f>
        <v>9740.25974025974</v>
      </c>
      <c r="H9" s="11" t="n">
        <f aca="false">G9*$B$5</f>
        <v>272727.272727273</v>
      </c>
      <c r="I9" s="12" t="s">
        <v>19</v>
      </c>
    </row>
    <row r="10" customFormat="false" ht="45.75" hidden="false" customHeight="true" outlineLevel="0" collapsed="false">
      <c r="A10" s="13" t="s">
        <v>20</v>
      </c>
      <c r="B10" s="14" t="s">
        <v>21</v>
      </c>
      <c r="C10" s="14" t="s">
        <v>21</v>
      </c>
      <c r="D10" s="14" t="s">
        <v>22</v>
      </c>
      <c r="E10" s="15" t="n">
        <f aca="false">1.5*$B$6</f>
        <v>1.875</v>
      </c>
      <c r="F10" s="15" t="n">
        <f aca="false">$B$4*$B$5/1000</f>
        <v>15.4</v>
      </c>
      <c r="G10" s="16" t="n">
        <f aca="false">E10*1000/F10</f>
        <v>121.753246753247</v>
      </c>
      <c r="H10" s="16" t="n">
        <f aca="false">G10*$B$5</f>
        <v>3409.09090909091</v>
      </c>
      <c r="I10" s="17" t="s">
        <v>23</v>
      </c>
    </row>
    <row r="11" customFormat="false" ht="45.75" hidden="false" customHeight="true" outlineLevel="0" collapsed="false">
      <c r="A11" s="8" t="s">
        <v>24</v>
      </c>
      <c r="B11" s="9" t="s">
        <v>25</v>
      </c>
      <c r="C11" s="9" t="s">
        <v>26</v>
      </c>
      <c r="D11" s="9" t="s">
        <v>27</v>
      </c>
      <c r="E11" s="10" t="n">
        <f aca="false">80*$B$6</f>
        <v>100</v>
      </c>
      <c r="F11" s="10" t="n">
        <f aca="false">$B$4*$B$5/1000</f>
        <v>15.4</v>
      </c>
      <c r="G11" s="11" t="n">
        <f aca="false">E11*1000/F11</f>
        <v>6493.50649350649</v>
      </c>
      <c r="H11" s="11" t="n">
        <f aca="false">G11*$B$5</f>
        <v>181818.181818182</v>
      </c>
      <c r="I11" s="12" t="s">
        <v>28</v>
      </c>
    </row>
    <row r="12" customFormat="false" ht="45.75" hidden="false" customHeight="true" outlineLevel="0" collapsed="false">
      <c r="A12" s="13" t="s">
        <v>29</v>
      </c>
      <c r="B12" s="14" t="s">
        <v>30</v>
      </c>
      <c r="C12" s="14" t="s">
        <v>31</v>
      </c>
      <c r="D12" s="14" t="s">
        <v>32</v>
      </c>
      <c r="E12" s="18" t="n">
        <v>90</v>
      </c>
      <c r="F12" s="15" t="n">
        <f aca="false">$B$4*$B$5/1000</f>
        <v>15.4</v>
      </c>
      <c r="G12" s="16" t="n">
        <f aca="false">E12*1000/F12</f>
        <v>5844.15584415584</v>
      </c>
      <c r="H12" s="16" t="n">
        <f aca="false">G12*$B$5</f>
        <v>163636.363636364</v>
      </c>
      <c r="I12" s="17" t="s">
        <v>33</v>
      </c>
    </row>
    <row r="13" customFormat="false" ht="45.75" hidden="false" customHeight="true" outlineLevel="0" collapsed="false">
      <c r="A13" s="8" t="s">
        <v>34</v>
      </c>
      <c r="B13" s="9" t="s">
        <v>35</v>
      </c>
      <c r="C13" s="9" t="s">
        <v>31</v>
      </c>
      <c r="D13" s="9" t="s">
        <v>36</v>
      </c>
      <c r="E13" s="19" t="n">
        <v>90</v>
      </c>
      <c r="F13" s="10" t="n">
        <f aca="false">$B$4*$B$5/1000</f>
        <v>15.4</v>
      </c>
      <c r="G13" s="11" t="n">
        <f aca="false">E13*1000/F13</f>
        <v>5844.15584415584</v>
      </c>
      <c r="H13" s="11" t="n">
        <f aca="false">G13*$B$5</f>
        <v>163636.363636364</v>
      </c>
      <c r="I13" s="12" t="s">
        <v>37</v>
      </c>
    </row>
    <row r="14" customFormat="false" ht="45.75" hidden="false" customHeight="true" outlineLevel="0" collapsed="false">
      <c r="A14" s="13" t="s">
        <v>38</v>
      </c>
      <c r="B14" s="14" t="s">
        <v>39</v>
      </c>
      <c r="C14" s="14" t="s">
        <v>40</v>
      </c>
      <c r="D14" s="14" t="s">
        <v>41</v>
      </c>
      <c r="E14" s="18" t="n">
        <v>70</v>
      </c>
      <c r="F14" s="15" t="n">
        <f aca="false">$B$4*$B$5/1000</f>
        <v>15.4</v>
      </c>
      <c r="G14" s="16" t="n">
        <f aca="false">E14*1000/F14</f>
        <v>4545.45454545455</v>
      </c>
      <c r="H14" s="16" t="n">
        <f aca="false">G14*$B$5</f>
        <v>127272.727272727</v>
      </c>
      <c r="I14" s="17" t="s">
        <v>42</v>
      </c>
    </row>
    <row r="15" customFormat="false" ht="19.5" hidden="false" customHeight="true" outlineLevel="0" collapsed="false">
      <c r="A15" s="20" t="s">
        <v>43</v>
      </c>
      <c r="B15" s="21"/>
      <c r="C15" s="21"/>
      <c r="D15" s="21"/>
      <c r="E15" s="22" t="n">
        <f aca="false">SUM(E9:E14)</f>
        <v>501.875</v>
      </c>
      <c r="F15" s="21"/>
      <c r="G15" s="23" t="n">
        <f aca="false">SUM(G9:G14)</f>
        <v>32589.2857142857</v>
      </c>
      <c r="H15" s="23" t="n">
        <f aca="false">SUM(H9:H14)</f>
        <v>912500</v>
      </c>
      <c r="I15" s="21"/>
    </row>
    <row r="17" customFormat="false" ht="60" hidden="false" customHeight="true" outlineLevel="0" collapsed="false">
      <c r="A17" s="24" t="s">
        <v>44</v>
      </c>
      <c r="B17" s="24"/>
      <c r="C17" s="24"/>
      <c r="D17" s="24"/>
      <c r="E17" s="24"/>
      <c r="F17" s="24"/>
      <c r="G17" s="24"/>
      <c r="H17" s="24"/>
      <c r="I17" s="24"/>
    </row>
  </sheetData>
  <mergeCells count="2">
    <mergeCell ref="A1:I1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2026-07-04T14:23:02Z</dcterms:created>
  <dc:creator>openpyxl</dc:creator>
  <dc:description/>
  <dc:language>en-US</dc:language>
  <cp:lastModifiedBy/>
  <dcterms:modified xsi:type="dcterms:W3CDTF">2026-07-04T14:23:02Z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